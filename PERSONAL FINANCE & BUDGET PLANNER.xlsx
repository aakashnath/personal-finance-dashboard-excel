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Anudip Course\Final Project\"/>
    </mc:Choice>
  </mc:AlternateContent>
  <bookViews>
    <workbookView xWindow="0" yWindow="0" windowWidth="16380" windowHeight="8190" tabRatio="500" firstSheet="5" activeTab="7"/>
  </bookViews>
  <sheets>
    <sheet name="Welcome Page" sheetId="18" r:id="rId1"/>
    <sheet name="Raw Data" sheetId="15" r:id="rId2"/>
    <sheet name="Cleaning Tasks" sheetId="14" r:id="rId3"/>
    <sheet name="Cleaned Data" sheetId="1" r:id="rId4"/>
    <sheet name="Income Analysis" sheetId="13" r:id="rId5"/>
    <sheet name="Expense Analysis" sheetId="16" r:id="rId6"/>
    <sheet name="Budget Analysis" sheetId="17" r:id="rId7"/>
    <sheet name="Pivot Analysis" sheetId="12" r:id="rId8"/>
    <sheet name="Final Dashboard" sheetId="11" r:id="rId9"/>
  </sheets>
  <definedNames>
    <definedName name="_xlcn.WorksheetConnection_BudgetSheetD3F131" hidden="1">#REF!</definedName>
    <definedName name="_xlcn.WorksheetConnection_ExpenseSheetA2E1001" hidden="1">#REF!</definedName>
    <definedName name="ExternalData_1" localSheetId="2" hidden="1">'Cleaning Tasks'!$A$2:$T$100</definedName>
    <definedName name="ExternalData_1" localSheetId="1" hidden="1">'Raw Data'!$A$2:$O$100</definedName>
    <definedName name="Slicer_Category1">#N/A</definedName>
    <definedName name="Slicer_Expense_Amount">#N/A</definedName>
    <definedName name="Slicer_Expense_Category">#N/A</definedName>
    <definedName name="Slicer_Income_Source">#N/A</definedName>
    <definedName name="Slicer_Month">#N/A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7" i="11" l="1"/>
  <c r="F7" i="11"/>
  <c r="B11" i="11" l="1"/>
  <c r="F7" i="17"/>
  <c r="L44" i="11" l="1"/>
  <c r="L43" i="11"/>
  <c r="L42" i="11"/>
  <c r="L41" i="11"/>
  <c r="L40" i="11"/>
  <c r="F11" i="11"/>
  <c r="J15" i="11"/>
  <c r="F15" i="11"/>
  <c r="B15" i="11"/>
  <c r="J11" i="11"/>
  <c r="B7" i="11"/>
  <c r="C16" i="17"/>
  <c r="F15" i="12"/>
  <c r="F14" i="12"/>
  <c r="F13" i="12"/>
  <c r="F12" i="12"/>
  <c r="F11" i="12"/>
  <c r="F10" i="12"/>
  <c r="F9" i="12"/>
  <c r="F8" i="12"/>
  <c r="F7" i="12"/>
  <c r="F6" i="12"/>
  <c r="F5" i="12"/>
  <c r="F4" i="12"/>
  <c r="F16" i="12" s="1"/>
  <c r="E5" i="17"/>
  <c r="E6" i="17"/>
  <c r="E7" i="17"/>
  <c r="E8" i="17"/>
  <c r="E9" i="17"/>
  <c r="E10" i="17"/>
  <c r="E11" i="17"/>
  <c r="E12" i="17"/>
  <c r="E13" i="17"/>
  <c r="E14" i="17"/>
  <c r="E15" i="17"/>
  <c r="E4" i="17"/>
  <c r="E16" i="17"/>
  <c r="D4" i="17"/>
  <c r="C5" i="17"/>
  <c r="C6" i="17"/>
  <c r="C7" i="17"/>
  <c r="C8" i="17"/>
  <c r="C9" i="17"/>
  <c r="C10" i="17"/>
  <c r="C11" i="17"/>
  <c r="C12" i="17"/>
  <c r="C13" i="17"/>
  <c r="C14" i="17"/>
  <c r="C15" i="17"/>
  <c r="C4" i="17"/>
  <c r="O16" i="16"/>
  <c r="O5" i="16"/>
  <c r="O6" i="16"/>
  <c r="O7" i="16"/>
  <c r="O8" i="16"/>
  <c r="O9" i="16"/>
  <c r="O10" i="16"/>
  <c r="O11" i="16"/>
  <c r="O12" i="16"/>
  <c r="O13" i="16"/>
  <c r="O14" i="16"/>
  <c r="O15" i="16"/>
  <c r="O4" i="16"/>
  <c r="N16" i="16"/>
  <c r="N5" i="16"/>
  <c r="N6" i="16"/>
  <c r="N7" i="16"/>
  <c r="N8" i="16"/>
  <c r="N9" i="16"/>
  <c r="N10" i="16"/>
  <c r="N11" i="16"/>
  <c r="N12" i="16"/>
  <c r="N13" i="16"/>
  <c r="N14" i="16"/>
  <c r="N15" i="16"/>
  <c r="N4" i="16"/>
  <c r="C16" i="16"/>
  <c r="D16" i="16"/>
  <c r="E16" i="16"/>
  <c r="F16" i="16"/>
  <c r="G16" i="16"/>
  <c r="H16" i="16"/>
  <c r="I16" i="16"/>
  <c r="J16" i="16"/>
  <c r="K16" i="16"/>
  <c r="L16" i="16"/>
  <c r="M16" i="16"/>
  <c r="B16" i="16"/>
  <c r="B5" i="16"/>
  <c r="C5" i="16"/>
  <c r="D5" i="16"/>
  <c r="E5" i="16"/>
  <c r="F5" i="16"/>
  <c r="G5" i="16"/>
  <c r="H5" i="16"/>
  <c r="I5" i="16"/>
  <c r="J5" i="16"/>
  <c r="K5" i="16"/>
  <c r="L5" i="16"/>
  <c r="M5" i="16"/>
  <c r="B6" i="16"/>
  <c r="C6" i="16"/>
  <c r="D6" i="16"/>
  <c r="E6" i="16"/>
  <c r="F6" i="16"/>
  <c r="G6" i="16"/>
  <c r="H6" i="16"/>
  <c r="I6" i="16"/>
  <c r="J6" i="16"/>
  <c r="K6" i="16"/>
  <c r="L6" i="16"/>
  <c r="M6" i="16"/>
  <c r="B7" i="16"/>
  <c r="C7" i="16"/>
  <c r="D7" i="16"/>
  <c r="E7" i="16"/>
  <c r="F7" i="16"/>
  <c r="G7" i="16"/>
  <c r="H7" i="16"/>
  <c r="I7" i="16"/>
  <c r="J7" i="16"/>
  <c r="K7" i="16"/>
  <c r="L7" i="16"/>
  <c r="M7" i="16"/>
  <c r="B8" i="16"/>
  <c r="C8" i="16"/>
  <c r="D8" i="16"/>
  <c r="E8" i="16"/>
  <c r="F8" i="16"/>
  <c r="G8" i="16"/>
  <c r="H8" i="16"/>
  <c r="I8" i="16"/>
  <c r="J8" i="16"/>
  <c r="K8" i="16"/>
  <c r="L8" i="16"/>
  <c r="M8" i="16"/>
  <c r="B9" i="16"/>
  <c r="C9" i="16"/>
  <c r="D9" i="16"/>
  <c r="E9" i="16"/>
  <c r="F9" i="16"/>
  <c r="G9" i="16"/>
  <c r="H9" i="16"/>
  <c r="I9" i="16"/>
  <c r="J9" i="16"/>
  <c r="K9" i="16"/>
  <c r="L9" i="16"/>
  <c r="M9" i="16"/>
  <c r="B10" i="16"/>
  <c r="C10" i="16"/>
  <c r="D10" i="16"/>
  <c r="E10" i="16"/>
  <c r="F10" i="16"/>
  <c r="G10" i="16"/>
  <c r="H10" i="16"/>
  <c r="I10" i="16"/>
  <c r="J10" i="16"/>
  <c r="K10" i="16"/>
  <c r="L10" i="16"/>
  <c r="M10" i="16"/>
  <c r="B11" i="16"/>
  <c r="C11" i="16"/>
  <c r="D11" i="16"/>
  <c r="E11" i="16"/>
  <c r="F11" i="16"/>
  <c r="G11" i="16"/>
  <c r="H11" i="16"/>
  <c r="I11" i="16"/>
  <c r="J11" i="16"/>
  <c r="K11" i="16"/>
  <c r="L11" i="16"/>
  <c r="M11" i="16"/>
  <c r="B12" i="16"/>
  <c r="C12" i="16"/>
  <c r="D12" i="16"/>
  <c r="E12" i="16"/>
  <c r="F12" i="16"/>
  <c r="G12" i="16"/>
  <c r="H12" i="16"/>
  <c r="I12" i="16"/>
  <c r="J12" i="16"/>
  <c r="K12" i="16"/>
  <c r="L12" i="16"/>
  <c r="M12" i="16"/>
  <c r="B13" i="16"/>
  <c r="C13" i="16"/>
  <c r="D13" i="16"/>
  <c r="E13" i="16"/>
  <c r="F13" i="16"/>
  <c r="G13" i="16"/>
  <c r="H13" i="16"/>
  <c r="I13" i="16"/>
  <c r="J13" i="16"/>
  <c r="K13" i="16"/>
  <c r="L13" i="16"/>
  <c r="M13" i="16"/>
  <c r="B14" i="16"/>
  <c r="C14" i="16"/>
  <c r="D14" i="16"/>
  <c r="E14" i="16"/>
  <c r="F14" i="16"/>
  <c r="G14" i="16"/>
  <c r="H14" i="16"/>
  <c r="I14" i="16"/>
  <c r="J14" i="16"/>
  <c r="K14" i="16"/>
  <c r="L14" i="16"/>
  <c r="M14" i="16"/>
  <c r="B15" i="16"/>
  <c r="C15" i="16"/>
  <c r="D15" i="16"/>
  <c r="E15" i="16"/>
  <c r="F15" i="16"/>
  <c r="G15" i="16"/>
  <c r="H15" i="16"/>
  <c r="I15" i="16"/>
  <c r="J15" i="16"/>
  <c r="K15" i="16"/>
  <c r="L15" i="16"/>
  <c r="M15" i="16"/>
  <c r="C4" i="16"/>
  <c r="D4" i="16"/>
  <c r="E4" i="16"/>
  <c r="F4" i="16"/>
  <c r="G4" i="16"/>
  <c r="H4" i="16"/>
  <c r="I4" i="16"/>
  <c r="J4" i="16"/>
  <c r="K4" i="16"/>
  <c r="L4" i="16"/>
  <c r="M4" i="16"/>
  <c r="B4" i="16"/>
  <c r="A4" i="16" a="1"/>
  <c r="A4" i="16"/>
  <c r="N5" i="13"/>
  <c r="N6" i="13"/>
  <c r="N7" i="13"/>
  <c r="N8" i="13"/>
  <c r="N9" i="13"/>
  <c r="N4" i="13"/>
  <c r="A4" i="13" a="1"/>
  <c r="A4" i="13"/>
  <c r="C9" i="13"/>
  <c r="D9" i="13"/>
  <c r="E9" i="13"/>
  <c r="F9" i="13"/>
  <c r="G9" i="13"/>
  <c r="H9" i="13"/>
  <c r="I9" i="13"/>
  <c r="J9" i="13"/>
  <c r="K9" i="13"/>
  <c r="L9" i="13"/>
  <c r="M9" i="13"/>
  <c r="B5" i="13"/>
  <c r="B6" i="13"/>
  <c r="B7" i="13"/>
  <c r="B8" i="13"/>
  <c r="B9" i="13"/>
  <c r="C4" i="13"/>
  <c r="D4" i="13"/>
  <c r="E4" i="13"/>
  <c r="F4" i="13"/>
  <c r="G4" i="13"/>
  <c r="H4" i="13"/>
  <c r="I4" i="13"/>
  <c r="J4" i="13"/>
  <c r="K4" i="13"/>
  <c r="L4" i="13"/>
  <c r="M4" i="13"/>
  <c r="D5" i="13"/>
  <c r="E5" i="13"/>
  <c r="F5" i="13"/>
  <c r="G5" i="13"/>
  <c r="H5" i="13"/>
  <c r="I5" i="13"/>
  <c r="J5" i="13"/>
  <c r="K5" i="13"/>
  <c r="L5" i="13"/>
  <c r="M5" i="13"/>
  <c r="D6" i="13"/>
  <c r="E6" i="13"/>
  <c r="F6" i="13"/>
  <c r="G6" i="13"/>
  <c r="H6" i="13"/>
  <c r="I6" i="13"/>
  <c r="J6" i="13"/>
  <c r="K6" i="13"/>
  <c r="L6" i="13"/>
  <c r="M6" i="13"/>
  <c r="D7" i="13"/>
  <c r="E7" i="13"/>
  <c r="F7" i="13"/>
  <c r="G7" i="13"/>
  <c r="H7" i="13"/>
  <c r="I7" i="13"/>
  <c r="J7" i="13"/>
  <c r="K7" i="13"/>
  <c r="L7" i="13"/>
  <c r="M7" i="13"/>
  <c r="D8" i="13"/>
  <c r="E8" i="13"/>
  <c r="F8" i="13"/>
  <c r="G8" i="13"/>
  <c r="H8" i="13"/>
  <c r="I8" i="13"/>
  <c r="J8" i="13"/>
  <c r="K8" i="13"/>
  <c r="L8" i="13"/>
  <c r="M8" i="13"/>
  <c r="C5" i="13"/>
  <c r="C6" i="13"/>
  <c r="C7" i="13"/>
  <c r="C8" i="13"/>
  <c r="B4" i="13"/>
  <c r="I9" i="1"/>
  <c r="B16" i="17"/>
  <c r="D15" i="17"/>
  <c r="F15" i="17" s="1"/>
  <c r="D14" i="17"/>
  <c r="F14" i="17" s="1"/>
  <c r="D13" i="17"/>
  <c r="F13" i="17" s="1"/>
  <c r="D12" i="17"/>
  <c r="F12" i="17" s="1"/>
  <c r="D11" i="17"/>
  <c r="F11" i="17" s="1"/>
  <c r="D10" i="17"/>
  <c r="F10" i="17" s="1"/>
  <c r="D9" i="17"/>
  <c r="F9" i="17" s="1"/>
  <c r="D8" i="17"/>
  <c r="F8" i="17" s="1"/>
  <c r="D7" i="17"/>
  <c r="D6" i="17"/>
  <c r="F6" i="17" s="1"/>
  <c r="D5" i="17"/>
  <c r="F5" i="17" s="1"/>
  <c r="T100" i="14"/>
  <c r="S100" i="14"/>
  <c r="R100" i="14"/>
  <c r="Q100" i="14"/>
  <c r="P100" i="14"/>
  <c r="T99" i="14"/>
  <c r="S99" i="14"/>
  <c r="R99" i="14"/>
  <c r="Q99" i="14"/>
  <c r="P99" i="14"/>
  <c r="T98" i="14"/>
  <c r="S98" i="14"/>
  <c r="R98" i="14"/>
  <c r="Q98" i="14"/>
  <c r="P98" i="14"/>
  <c r="T97" i="14"/>
  <c r="S97" i="14"/>
  <c r="R97" i="14"/>
  <c r="Q97" i="14"/>
  <c r="P97" i="14"/>
  <c r="T96" i="14"/>
  <c r="S96" i="14"/>
  <c r="R96" i="14"/>
  <c r="Q96" i="14"/>
  <c r="P96" i="14"/>
  <c r="T95" i="14"/>
  <c r="S95" i="14"/>
  <c r="R95" i="14"/>
  <c r="Q95" i="14"/>
  <c r="P95" i="14"/>
  <c r="T94" i="14"/>
  <c r="S94" i="14"/>
  <c r="R94" i="14"/>
  <c r="Q94" i="14"/>
  <c r="P94" i="14"/>
  <c r="T93" i="14"/>
  <c r="S93" i="14"/>
  <c r="R93" i="14"/>
  <c r="Q93" i="14"/>
  <c r="P93" i="14"/>
  <c r="T92" i="14"/>
  <c r="S92" i="14"/>
  <c r="R92" i="14"/>
  <c r="Q92" i="14"/>
  <c r="P92" i="14"/>
  <c r="T91" i="14"/>
  <c r="S91" i="14"/>
  <c r="R91" i="14"/>
  <c r="Q91" i="14"/>
  <c r="P91" i="14"/>
  <c r="T90" i="14"/>
  <c r="S90" i="14"/>
  <c r="R90" i="14"/>
  <c r="Q90" i="14"/>
  <c r="P90" i="14"/>
  <c r="T89" i="14"/>
  <c r="S89" i="14"/>
  <c r="R89" i="14"/>
  <c r="Q89" i="14"/>
  <c r="P89" i="14"/>
  <c r="T88" i="14"/>
  <c r="S88" i="14"/>
  <c r="R88" i="14"/>
  <c r="Q88" i="14"/>
  <c r="P88" i="14"/>
  <c r="T87" i="14"/>
  <c r="S87" i="14"/>
  <c r="R87" i="14"/>
  <c r="Q87" i="14"/>
  <c r="P87" i="14"/>
  <c r="T86" i="14"/>
  <c r="S86" i="14"/>
  <c r="R86" i="14"/>
  <c r="Q86" i="14"/>
  <c r="P86" i="14"/>
  <c r="T85" i="14"/>
  <c r="S85" i="14"/>
  <c r="R85" i="14"/>
  <c r="Q85" i="14"/>
  <c r="P85" i="14"/>
  <c r="T84" i="14"/>
  <c r="S84" i="14"/>
  <c r="R84" i="14"/>
  <c r="Q84" i="14"/>
  <c r="P84" i="14"/>
  <c r="T83" i="14"/>
  <c r="S83" i="14"/>
  <c r="R83" i="14"/>
  <c r="Q83" i="14"/>
  <c r="P83" i="14"/>
  <c r="T82" i="14"/>
  <c r="S82" i="14"/>
  <c r="R82" i="14"/>
  <c r="Q82" i="14"/>
  <c r="P82" i="14"/>
  <c r="T81" i="14"/>
  <c r="S81" i="14"/>
  <c r="R81" i="14"/>
  <c r="Q81" i="14"/>
  <c r="P81" i="14"/>
  <c r="T80" i="14"/>
  <c r="S80" i="14"/>
  <c r="R80" i="14"/>
  <c r="Q80" i="14"/>
  <c r="P80" i="14"/>
  <c r="T79" i="14"/>
  <c r="S79" i="14"/>
  <c r="R79" i="14"/>
  <c r="Q79" i="14"/>
  <c r="P79" i="14"/>
  <c r="T78" i="14"/>
  <c r="S78" i="14"/>
  <c r="R78" i="14"/>
  <c r="Q78" i="14"/>
  <c r="P78" i="14"/>
  <c r="T77" i="14"/>
  <c r="S77" i="14"/>
  <c r="R77" i="14"/>
  <c r="Q77" i="14"/>
  <c r="P77" i="14"/>
  <c r="T76" i="14"/>
  <c r="S76" i="14"/>
  <c r="R76" i="14"/>
  <c r="Q76" i="14"/>
  <c r="P76" i="14"/>
  <c r="T75" i="14"/>
  <c r="S75" i="14"/>
  <c r="R75" i="14"/>
  <c r="Q75" i="14"/>
  <c r="P75" i="14"/>
  <c r="T74" i="14"/>
  <c r="S74" i="14"/>
  <c r="R74" i="14"/>
  <c r="Q74" i="14"/>
  <c r="P74" i="14"/>
  <c r="T73" i="14"/>
  <c r="S73" i="14"/>
  <c r="R73" i="14"/>
  <c r="Q73" i="14"/>
  <c r="P73" i="14"/>
  <c r="T72" i="14"/>
  <c r="S72" i="14"/>
  <c r="R72" i="14"/>
  <c r="Q72" i="14"/>
  <c r="P72" i="14"/>
  <c r="T71" i="14"/>
  <c r="S71" i="14"/>
  <c r="R71" i="14"/>
  <c r="Q71" i="14"/>
  <c r="P71" i="14"/>
  <c r="T70" i="14"/>
  <c r="S70" i="14"/>
  <c r="R70" i="14"/>
  <c r="Q70" i="14"/>
  <c r="P70" i="14"/>
  <c r="T69" i="14"/>
  <c r="S69" i="14"/>
  <c r="R69" i="14"/>
  <c r="Q69" i="14"/>
  <c r="P69" i="14"/>
  <c r="T68" i="14"/>
  <c r="S68" i="14"/>
  <c r="R68" i="14"/>
  <c r="Q68" i="14"/>
  <c r="P68" i="14"/>
  <c r="T67" i="14"/>
  <c r="S67" i="14"/>
  <c r="R67" i="14"/>
  <c r="Q67" i="14"/>
  <c r="P67" i="14"/>
  <c r="T66" i="14"/>
  <c r="S66" i="14"/>
  <c r="R66" i="14"/>
  <c r="Q66" i="14"/>
  <c r="P66" i="14"/>
  <c r="T65" i="14"/>
  <c r="S65" i="14"/>
  <c r="R65" i="14"/>
  <c r="Q65" i="14"/>
  <c r="P65" i="14"/>
  <c r="T64" i="14"/>
  <c r="S64" i="14"/>
  <c r="R64" i="14"/>
  <c r="Q64" i="14"/>
  <c r="P64" i="14"/>
  <c r="T63" i="14"/>
  <c r="S63" i="14"/>
  <c r="R63" i="14"/>
  <c r="Q63" i="14"/>
  <c r="P63" i="14"/>
  <c r="T62" i="14"/>
  <c r="S62" i="14"/>
  <c r="R62" i="14"/>
  <c r="Q62" i="14"/>
  <c r="P62" i="14"/>
  <c r="T61" i="14"/>
  <c r="S61" i="14"/>
  <c r="R61" i="14"/>
  <c r="Q61" i="14"/>
  <c r="P61" i="14"/>
  <c r="T60" i="14"/>
  <c r="S60" i="14"/>
  <c r="R60" i="14"/>
  <c r="Q60" i="14"/>
  <c r="P60" i="14"/>
  <c r="T59" i="14"/>
  <c r="S59" i="14"/>
  <c r="R59" i="14"/>
  <c r="Q59" i="14"/>
  <c r="P59" i="14"/>
  <c r="T58" i="14"/>
  <c r="S58" i="14"/>
  <c r="R58" i="14"/>
  <c r="Q58" i="14"/>
  <c r="P58" i="14"/>
  <c r="T57" i="14"/>
  <c r="S57" i="14"/>
  <c r="R57" i="14"/>
  <c r="Q57" i="14"/>
  <c r="P57" i="14"/>
  <c r="T56" i="14"/>
  <c r="S56" i="14"/>
  <c r="R56" i="14"/>
  <c r="Q56" i="14"/>
  <c r="P56" i="14"/>
  <c r="T55" i="14"/>
  <c r="S55" i="14"/>
  <c r="R55" i="14"/>
  <c r="Q55" i="14"/>
  <c r="P55" i="14"/>
  <c r="T54" i="14"/>
  <c r="S54" i="14"/>
  <c r="R54" i="14"/>
  <c r="Q54" i="14"/>
  <c r="P54" i="14"/>
  <c r="T53" i="14"/>
  <c r="S53" i="14"/>
  <c r="R53" i="14"/>
  <c r="Q53" i="14"/>
  <c r="P53" i="14"/>
  <c r="T52" i="14"/>
  <c r="S52" i="14"/>
  <c r="R52" i="14"/>
  <c r="Q52" i="14"/>
  <c r="P52" i="14"/>
  <c r="T51" i="14"/>
  <c r="S51" i="14"/>
  <c r="R51" i="14"/>
  <c r="Q51" i="14"/>
  <c r="P51" i="14"/>
  <c r="T50" i="14"/>
  <c r="S50" i="14"/>
  <c r="R50" i="14"/>
  <c r="Q50" i="14"/>
  <c r="P50" i="14"/>
  <c r="T49" i="14"/>
  <c r="S49" i="14"/>
  <c r="R49" i="14"/>
  <c r="Q49" i="14"/>
  <c r="P49" i="14"/>
  <c r="T48" i="14"/>
  <c r="S48" i="14"/>
  <c r="R48" i="14"/>
  <c r="Q48" i="14"/>
  <c r="P48" i="14"/>
  <c r="T47" i="14"/>
  <c r="S47" i="14"/>
  <c r="R47" i="14"/>
  <c r="Q47" i="14"/>
  <c r="P47" i="14"/>
  <c r="T46" i="14"/>
  <c r="S46" i="14"/>
  <c r="R46" i="14"/>
  <c r="Q46" i="14"/>
  <c r="P46" i="14"/>
  <c r="T45" i="14"/>
  <c r="S45" i="14"/>
  <c r="R45" i="14"/>
  <c r="Q45" i="14"/>
  <c r="P45" i="14"/>
  <c r="T44" i="14"/>
  <c r="S44" i="14"/>
  <c r="R44" i="14"/>
  <c r="Q44" i="14"/>
  <c r="P44" i="14"/>
  <c r="T43" i="14"/>
  <c r="S43" i="14"/>
  <c r="R43" i="14"/>
  <c r="Q43" i="14"/>
  <c r="P43" i="14"/>
  <c r="T42" i="14"/>
  <c r="S42" i="14"/>
  <c r="R42" i="14"/>
  <c r="Q42" i="14"/>
  <c r="P42" i="14"/>
  <c r="T41" i="14"/>
  <c r="S41" i="14"/>
  <c r="R41" i="14"/>
  <c r="Q41" i="14"/>
  <c r="P41" i="14"/>
  <c r="T40" i="14"/>
  <c r="S40" i="14"/>
  <c r="R40" i="14"/>
  <c r="Q40" i="14"/>
  <c r="P40" i="14"/>
  <c r="T39" i="14"/>
  <c r="S39" i="14"/>
  <c r="R39" i="14"/>
  <c r="Q39" i="14"/>
  <c r="P39" i="14"/>
  <c r="T38" i="14"/>
  <c r="S38" i="14"/>
  <c r="R38" i="14"/>
  <c r="Q38" i="14"/>
  <c r="P38" i="14"/>
  <c r="T37" i="14"/>
  <c r="S37" i="14"/>
  <c r="R37" i="14"/>
  <c r="Q37" i="14"/>
  <c r="P37" i="14"/>
  <c r="T36" i="14"/>
  <c r="S36" i="14"/>
  <c r="R36" i="14"/>
  <c r="Q36" i="14"/>
  <c r="P36" i="14"/>
  <c r="T35" i="14"/>
  <c r="S35" i="14"/>
  <c r="R35" i="14"/>
  <c r="Q35" i="14"/>
  <c r="P35" i="14"/>
  <c r="T34" i="14"/>
  <c r="S34" i="14"/>
  <c r="R34" i="14"/>
  <c r="Q34" i="14"/>
  <c r="P34" i="14"/>
  <c r="T33" i="14"/>
  <c r="S33" i="14"/>
  <c r="R33" i="14"/>
  <c r="Q33" i="14"/>
  <c r="P33" i="14"/>
  <c r="T32" i="14"/>
  <c r="S32" i="14"/>
  <c r="R32" i="14"/>
  <c r="Q32" i="14"/>
  <c r="P32" i="14"/>
  <c r="T31" i="14"/>
  <c r="S31" i="14"/>
  <c r="R31" i="14"/>
  <c r="Q31" i="14"/>
  <c r="P31" i="14"/>
  <c r="T30" i="14"/>
  <c r="S30" i="14"/>
  <c r="R30" i="14"/>
  <c r="Q30" i="14"/>
  <c r="P30" i="14"/>
  <c r="T29" i="14"/>
  <c r="S29" i="14"/>
  <c r="R29" i="14"/>
  <c r="Q29" i="14"/>
  <c r="P29" i="14"/>
  <c r="T28" i="14"/>
  <c r="S28" i="14"/>
  <c r="R28" i="14"/>
  <c r="Q28" i="14"/>
  <c r="P28" i="14"/>
  <c r="T27" i="14"/>
  <c r="S27" i="14"/>
  <c r="R27" i="14"/>
  <c r="Q27" i="14"/>
  <c r="P27" i="14"/>
  <c r="T26" i="14"/>
  <c r="S26" i="14"/>
  <c r="R26" i="14"/>
  <c r="Q26" i="14"/>
  <c r="P26" i="14"/>
  <c r="T25" i="14"/>
  <c r="S25" i="14"/>
  <c r="R25" i="14"/>
  <c r="Q25" i="14"/>
  <c r="P25" i="14"/>
  <c r="T24" i="14"/>
  <c r="S24" i="14"/>
  <c r="R24" i="14"/>
  <c r="Q24" i="14"/>
  <c r="P24" i="14"/>
  <c r="T23" i="14"/>
  <c r="S23" i="14"/>
  <c r="R23" i="14"/>
  <c r="Q23" i="14"/>
  <c r="P23" i="14"/>
  <c r="T22" i="14"/>
  <c r="S22" i="14"/>
  <c r="R22" i="14"/>
  <c r="Q22" i="14"/>
  <c r="P22" i="14"/>
  <c r="T21" i="14"/>
  <c r="S21" i="14"/>
  <c r="R21" i="14"/>
  <c r="Q21" i="14"/>
  <c r="P21" i="14"/>
  <c r="T20" i="14"/>
  <c r="S20" i="14"/>
  <c r="R20" i="14"/>
  <c r="Q20" i="14"/>
  <c r="P20" i="14"/>
  <c r="T19" i="14"/>
  <c r="S19" i="14"/>
  <c r="R19" i="14"/>
  <c r="Q19" i="14"/>
  <c r="P19" i="14"/>
  <c r="T18" i="14"/>
  <c r="S18" i="14"/>
  <c r="R18" i="14"/>
  <c r="Q18" i="14"/>
  <c r="P18" i="14"/>
  <c r="T17" i="14"/>
  <c r="S17" i="14"/>
  <c r="R17" i="14"/>
  <c r="Q17" i="14"/>
  <c r="P17" i="14"/>
  <c r="T16" i="14"/>
  <c r="S16" i="14"/>
  <c r="R16" i="14"/>
  <c r="Q16" i="14"/>
  <c r="P16" i="14"/>
  <c r="T15" i="14"/>
  <c r="S15" i="14"/>
  <c r="R15" i="14"/>
  <c r="Q15" i="14"/>
  <c r="P15" i="14"/>
  <c r="T14" i="14"/>
  <c r="S14" i="14"/>
  <c r="R14" i="14"/>
  <c r="Q14" i="14"/>
  <c r="P14" i="14"/>
  <c r="T13" i="14"/>
  <c r="S13" i="14"/>
  <c r="R13" i="14"/>
  <c r="Q13" i="14"/>
  <c r="P13" i="14"/>
  <c r="T12" i="14"/>
  <c r="S12" i="14"/>
  <c r="R12" i="14"/>
  <c r="Q12" i="14"/>
  <c r="P12" i="14"/>
  <c r="T11" i="14"/>
  <c r="S11" i="14"/>
  <c r="R11" i="14"/>
  <c r="Q11" i="14"/>
  <c r="P11" i="14"/>
  <c r="T10" i="14"/>
  <c r="S10" i="14"/>
  <c r="R10" i="14"/>
  <c r="Q10" i="14"/>
  <c r="P10" i="14"/>
  <c r="T9" i="14"/>
  <c r="S9" i="14"/>
  <c r="R9" i="14"/>
  <c r="Q9" i="14"/>
  <c r="P9" i="14"/>
  <c r="T8" i="14"/>
  <c r="S8" i="14"/>
  <c r="R8" i="14"/>
  <c r="P8" i="14"/>
  <c r="G8" i="14"/>
  <c r="Q8" i="14" s="1"/>
  <c r="T7" i="14"/>
  <c r="S7" i="14"/>
  <c r="R7" i="14"/>
  <c r="Q7" i="14"/>
  <c r="P7" i="14"/>
  <c r="T6" i="14"/>
  <c r="S6" i="14"/>
  <c r="R6" i="14"/>
  <c r="Q6" i="14"/>
  <c r="P6" i="14"/>
  <c r="T5" i="14"/>
  <c r="S5" i="14"/>
  <c r="R5" i="14"/>
  <c r="Q5" i="14"/>
  <c r="P5" i="14"/>
  <c r="T4" i="14"/>
  <c r="S4" i="14"/>
  <c r="R4" i="14"/>
  <c r="Q4" i="14"/>
  <c r="P4" i="14"/>
  <c r="T3" i="14"/>
  <c r="S3" i="14"/>
  <c r="R3" i="14"/>
  <c r="Q3" i="14"/>
  <c r="P3" i="14"/>
  <c r="N10" i="13"/>
  <c r="M10" i="13"/>
  <c r="L10" i="13"/>
  <c r="K10" i="13"/>
  <c r="J10" i="13"/>
  <c r="I10" i="13"/>
  <c r="H10" i="13"/>
  <c r="G10" i="13"/>
  <c r="F10" i="13"/>
  <c r="E10" i="13"/>
  <c r="D10" i="13"/>
  <c r="C10" i="13"/>
  <c r="B10" i="13"/>
  <c r="E16" i="12"/>
  <c r="D16" i="12"/>
  <c r="C16" i="12"/>
  <c r="B16" i="12"/>
  <c r="M100" i="1"/>
  <c r="I100" i="1"/>
  <c r="H100" i="1"/>
  <c r="G100" i="1"/>
  <c r="F100" i="1"/>
  <c r="M99" i="1"/>
  <c r="I99" i="1"/>
  <c r="H99" i="1"/>
  <c r="G99" i="1"/>
  <c r="F99" i="1"/>
  <c r="M98" i="1"/>
  <c r="I98" i="1"/>
  <c r="H98" i="1"/>
  <c r="G98" i="1"/>
  <c r="F98" i="1"/>
  <c r="M97" i="1"/>
  <c r="I97" i="1"/>
  <c r="H97" i="1"/>
  <c r="G97" i="1"/>
  <c r="F97" i="1"/>
  <c r="M96" i="1"/>
  <c r="I96" i="1"/>
  <c r="H96" i="1"/>
  <c r="G96" i="1"/>
  <c r="F96" i="1"/>
  <c r="M95" i="1"/>
  <c r="I95" i="1"/>
  <c r="H95" i="1"/>
  <c r="G95" i="1"/>
  <c r="F95" i="1"/>
  <c r="M94" i="1"/>
  <c r="I94" i="1"/>
  <c r="H94" i="1"/>
  <c r="G94" i="1"/>
  <c r="F94" i="1"/>
  <c r="M93" i="1"/>
  <c r="I93" i="1"/>
  <c r="H93" i="1"/>
  <c r="G93" i="1"/>
  <c r="F93" i="1"/>
  <c r="M92" i="1"/>
  <c r="I92" i="1"/>
  <c r="H92" i="1"/>
  <c r="G92" i="1"/>
  <c r="F92" i="1"/>
  <c r="M91" i="1"/>
  <c r="I91" i="1"/>
  <c r="H91" i="1"/>
  <c r="G91" i="1"/>
  <c r="F91" i="1"/>
  <c r="M90" i="1"/>
  <c r="I90" i="1"/>
  <c r="H90" i="1"/>
  <c r="G90" i="1"/>
  <c r="F90" i="1"/>
  <c r="M89" i="1"/>
  <c r="I89" i="1"/>
  <c r="H89" i="1"/>
  <c r="G89" i="1"/>
  <c r="F89" i="1"/>
  <c r="M88" i="1"/>
  <c r="I88" i="1"/>
  <c r="H88" i="1"/>
  <c r="G88" i="1"/>
  <c r="F88" i="1"/>
  <c r="M87" i="1"/>
  <c r="I87" i="1"/>
  <c r="H87" i="1"/>
  <c r="G87" i="1"/>
  <c r="F87" i="1"/>
  <c r="M86" i="1"/>
  <c r="I86" i="1"/>
  <c r="H86" i="1"/>
  <c r="G86" i="1"/>
  <c r="F86" i="1"/>
  <c r="M85" i="1"/>
  <c r="I85" i="1"/>
  <c r="H85" i="1"/>
  <c r="G85" i="1"/>
  <c r="F85" i="1"/>
  <c r="M84" i="1"/>
  <c r="I84" i="1"/>
  <c r="H84" i="1"/>
  <c r="G84" i="1"/>
  <c r="F84" i="1"/>
  <c r="M83" i="1"/>
  <c r="I83" i="1"/>
  <c r="H83" i="1"/>
  <c r="G83" i="1"/>
  <c r="F83" i="1"/>
  <c r="M82" i="1"/>
  <c r="I82" i="1"/>
  <c r="H82" i="1"/>
  <c r="G82" i="1"/>
  <c r="F82" i="1"/>
  <c r="M81" i="1"/>
  <c r="I81" i="1"/>
  <c r="H81" i="1"/>
  <c r="G81" i="1"/>
  <c r="F81" i="1"/>
  <c r="M80" i="1"/>
  <c r="I80" i="1"/>
  <c r="H80" i="1"/>
  <c r="G80" i="1"/>
  <c r="F80" i="1"/>
  <c r="M79" i="1"/>
  <c r="I79" i="1"/>
  <c r="H79" i="1"/>
  <c r="G79" i="1"/>
  <c r="F79" i="1"/>
  <c r="M78" i="1"/>
  <c r="I78" i="1"/>
  <c r="H78" i="1"/>
  <c r="G78" i="1"/>
  <c r="F78" i="1"/>
  <c r="M77" i="1"/>
  <c r="I77" i="1"/>
  <c r="H77" i="1"/>
  <c r="G77" i="1"/>
  <c r="F77" i="1"/>
  <c r="M76" i="1"/>
  <c r="I76" i="1"/>
  <c r="H76" i="1"/>
  <c r="G76" i="1"/>
  <c r="F76" i="1"/>
  <c r="M75" i="1"/>
  <c r="I75" i="1"/>
  <c r="H75" i="1"/>
  <c r="G75" i="1"/>
  <c r="F75" i="1"/>
  <c r="M74" i="1"/>
  <c r="I74" i="1"/>
  <c r="H74" i="1"/>
  <c r="G74" i="1"/>
  <c r="F74" i="1"/>
  <c r="M73" i="1"/>
  <c r="I73" i="1"/>
  <c r="H73" i="1"/>
  <c r="G73" i="1"/>
  <c r="F73" i="1"/>
  <c r="M72" i="1"/>
  <c r="I72" i="1"/>
  <c r="H72" i="1"/>
  <c r="G72" i="1"/>
  <c r="F72" i="1"/>
  <c r="M71" i="1"/>
  <c r="I71" i="1"/>
  <c r="H71" i="1"/>
  <c r="G71" i="1"/>
  <c r="F71" i="1"/>
  <c r="M70" i="1"/>
  <c r="I70" i="1"/>
  <c r="H70" i="1"/>
  <c r="G70" i="1"/>
  <c r="F70" i="1"/>
  <c r="M69" i="1"/>
  <c r="I69" i="1"/>
  <c r="H69" i="1"/>
  <c r="G69" i="1"/>
  <c r="F69" i="1"/>
  <c r="M68" i="1"/>
  <c r="I68" i="1"/>
  <c r="H68" i="1"/>
  <c r="G68" i="1"/>
  <c r="F68" i="1"/>
  <c r="M67" i="1"/>
  <c r="I67" i="1"/>
  <c r="H67" i="1"/>
  <c r="G67" i="1"/>
  <c r="F67" i="1"/>
  <c r="M66" i="1"/>
  <c r="I66" i="1"/>
  <c r="H66" i="1"/>
  <c r="G66" i="1"/>
  <c r="F66" i="1"/>
  <c r="M65" i="1"/>
  <c r="I65" i="1"/>
  <c r="H65" i="1"/>
  <c r="G65" i="1"/>
  <c r="F65" i="1"/>
  <c r="M64" i="1"/>
  <c r="I64" i="1"/>
  <c r="H64" i="1"/>
  <c r="G64" i="1"/>
  <c r="F64" i="1"/>
  <c r="M63" i="1"/>
  <c r="I63" i="1"/>
  <c r="H63" i="1"/>
  <c r="G63" i="1"/>
  <c r="F63" i="1"/>
  <c r="M62" i="1"/>
  <c r="I62" i="1"/>
  <c r="H62" i="1"/>
  <c r="G62" i="1"/>
  <c r="F62" i="1"/>
  <c r="M61" i="1"/>
  <c r="I61" i="1"/>
  <c r="H61" i="1"/>
  <c r="G61" i="1"/>
  <c r="F61" i="1"/>
  <c r="M60" i="1"/>
  <c r="I60" i="1"/>
  <c r="H60" i="1"/>
  <c r="G60" i="1"/>
  <c r="F60" i="1"/>
  <c r="M59" i="1"/>
  <c r="I59" i="1"/>
  <c r="H59" i="1"/>
  <c r="G59" i="1"/>
  <c r="F59" i="1"/>
  <c r="M58" i="1"/>
  <c r="I58" i="1"/>
  <c r="H58" i="1"/>
  <c r="G58" i="1"/>
  <c r="F58" i="1"/>
  <c r="M57" i="1"/>
  <c r="I57" i="1"/>
  <c r="H57" i="1"/>
  <c r="G57" i="1"/>
  <c r="F57" i="1"/>
  <c r="M56" i="1"/>
  <c r="I56" i="1"/>
  <c r="H56" i="1"/>
  <c r="G56" i="1"/>
  <c r="F56" i="1"/>
  <c r="M55" i="1"/>
  <c r="I55" i="1"/>
  <c r="H55" i="1"/>
  <c r="G55" i="1"/>
  <c r="F55" i="1"/>
  <c r="M54" i="1"/>
  <c r="I54" i="1"/>
  <c r="H54" i="1"/>
  <c r="G54" i="1"/>
  <c r="F54" i="1"/>
  <c r="M53" i="1"/>
  <c r="I53" i="1"/>
  <c r="H53" i="1"/>
  <c r="G53" i="1"/>
  <c r="F53" i="1"/>
  <c r="M52" i="1"/>
  <c r="I52" i="1"/>
  <c r="H52" i="1"/>
  <c r="G52" i="1"/>
  <c r="F52" i="1"/>
  <c r="M51" i="1"/>
  <c r="I51" i="1"/>
  <c r="H51" i="1"/>
  <c r="G51" i="1"/>
  <c r="F51" i="1"/>
  <c r="M50" i="1"/>
  <c r="I50" i="1"/>
  <c r="H50" i="1"/>
  <c r="G50" i="1"/>
  <c r="F50" i="1"/>
  <c r="M49" i="1"/>
  <c r="I49" i="1"/>
  <c r="H49" i="1"/>
  <c r="G49" i="1"/>
  <c r="F49" i="1"/>
  <c r="M48" i="1"/>
  <c r="I48" i="1"/>
  <c r="H48" i="1"/>
  <c r="G48" i="1"/>
  <c r="F48" i="1"/>
  <c r="M47" i="1"/>
  <c r="I47" i="1"/>
  <c r="H47" i="1"/>
  <c r="G47" i="1"/>
  <c r="F47" i="1"/>
  <c r="M46" i="1"/>
  <c r="I46" i="1"/>
  <c r="H46" i="1"/>
  <c r="G46" i="1"/>
  <c r="F46" i="1"/>
  <c r="M45" i="1"/>
  <c r="I45" i="1"/>
  <c r="H45" i="1"/>
  <c r="G45" i="1"/>
  <c r="F45" i="1"/>
  <c r="M44" i="1"/>
  <c r="I44" i="1"/>
  <c r="H44" i="1"/>
  <c r="G44" i="1"/>
  <c r="F44" i="1"/>
  <c r="M43" i="1"/>
  <c r="I43" i="1"/>
  <c r="H43" i="1"/>
  <c r="G43" i="1"/>
  <c r="F43" i="1"/>
  <c r="M42" i="1"/>
  <c r="I42" i="1"/>
  <c r="H42" i="1"/>
  <c r="G42" i="1"/>
  <c r="F42" i="1"/>
  <c r="M41" i="1"/>
  <c r="I41" i="1"/>
  <c r="H41" i="1"/>
  <c r="G41" i="1"/>
  <c r="F41" i="1"/>
  <c r="M40" i="1"/>
  <c r="I40" i="1"/>
  <c r="H40" i="1"/>
  <c r="G40" i="1"/>
  <c r="F40" i="1"/>
  <c r="M39" i="1"/>
  <c r="I39" i="1"/>
  <c r="H39" i="1"/>
  <c r="G39" i="1"/>
  <c r="F39" i="1"/>
  <c r="M38" i="1"/>
  <c r="I38" i="1"/>
  <c r="H38" i="1"/>
  <c r="G38" i="1"/>
  <c r="F38" i="1"/>
  <c r="M37" i="1"/>
  <c r="I37" i="1"/>
  <c r="H37" i="1"/>
  <c r="G37" i="1"/>
  <c r="F37" i="1"/>
  <c r="M36" i="1"/>
  <c r="I36" i="1"/>
  <c r="H36" i="1"/>
  <c r="G36" i="1"/>
  <c r="F36" i="1"/>
  <c r="M35" i="1"/>
  <c r="I35" i="1"/>
  <c r="H35" i="1"/>
  <c r="G35" i="1"/>
  <c r="F35" i="1"/>
  <c r="M34" i="1"/>
  <c r="I34" i="1"/>
  <c r="H34" i="1"/>
  <c r="G34" i="1"/>
  <c r="F34" i="1"/>
  <c r="M33" i="1"/>
  <c r="I33" i="1"/>
  <c r="H33" i="1"/>
  <c r="G33" i="1"/>
  <c r="F33" i="1"/>
  <c r="M32" i="1"/>
  <c r="I32" i="1"/>
  <c r="H32" i="1"/>
  <c r="G32" i="1"/>
  <c r="F32" i="1"/>
  <c r="M31" i="1"/>
  <c r="I31" i="1"/>
  <c r="H31" i="1"/>
  <c r="G31" i="1"/>
  <c r="F31" i="1"/>
  <c r="M30" i="1"/>
  <c r="I30" i="1"/>
  <c r="H30" i="1"/>
  <c r="G30" i="1"/>
  <c r="F30" i="1"/>
  <c r="M29" i="1"/>
  <c r="I29" i="1"/>
  <c r="H29" i="1"/>
  <c r="G29" i="1"/>
  <c r="F29" i="1"/>
  <c r="M28" i="1"/>
  <c r="I28" i="1"/>
  <c r="H28" i="1"/>
  <c r="G28" i="1"/>
  <c r="F28" i="1"/>
  <c r="M27" i="1"/>
  <c r="I27" i="1"/>
  <c r="H27" i="1"/>
  <c r="G27" i="1"/>
  <c r="F27" i="1"/>
  <c r="M26" i="1"/>
  <c r="I26" i="1"/>
  <c r="H26" i="1"/>
  <c r="G26" i="1"/>
  <c r="F26" i="1"/>
  <c r="M25" i="1"/>
  <c r="I25" i="1"/>
  <c r="H25" i="1"/>
  <c r="G25" i="1"/>
  <c r="F25" i="1"/>
  <c r="M24" i="1"/>
  <c r="I24" i="1"/>
  <c r="H24" i="1"/>
  <c r="G24" i="1"/>
  <c r="F24" i="1"/>
  <c r="M23" i="1"/>
  <c r="I23" i="1"/>
  <c r="H23" i="1"/>
  <c r="G23" i="1"/>
  <c r="F23" i="1"/>
  <c r="M22" i="1"/>
  <c r="I22" i="1"/>
  <c r="H22" i="1"/>
  <c r="G22" i="1"/>
  <c r="F22" i="1"/>
  <c r="M21" i="1"/>
  <c r="I21" i="1"/>
  <c r="H21" i="1"/>
  <c r="G21" i="1"/>
  <c r="F21" i="1"/>
  <c r="M20" i="1"/>
  <c r="I20" i="1"/>
  <c r="H20" i="1"/>
  <c r="G20" i="1"/>
  <c r="F20" i="1"/>
  <c r="M19" i="1"/>
  <c r="I19" i="1"/>
  <c r="H19" i="1"/>
  <c r="G19" i="1"/>
  <c r="F19" i="1"/>
  <c r="M18" i="1"/>
  <c r="I18" i="1"/>
  <c r="H18" i="1"/>
  <c r="G18" i="1"/>
  <c r="F18" i="1"/>
  <c r="M17" i="1"/>
  <c r="I17" i="1"/>
  <c r="H17" i="1"/>
  <c r="G17" i="1"/>
  <c r="F17" i="1"/>
  <c r="M16" i="1"/>
  <c r="I16" i="1"/>
  <c r="H16" i="1"/>
  <c r="G16" i="1"/>
  <c r="F16" i="1"/>
  <c r="M15" i="1"/>
  <c r="I15" i="1"/>
  <c r="H15" i="1"/>
  <c r="G15" i="1"/>
  <c r="F15" i="1"/>
  <c r="M14" i="1"/>
  <c r="I14" i="1"/>
  <c r="H14" i="1"/>
  <c r="G14" i="1"/>
  <c r="F14" i="1"/>
  <c r="M13" i="1"/>
  <c r="I13" i="1"/>
  <c r="H13" i="1"/>
  <c r="G13" i="1"/>
  <c r="F13" i="1"/>
  <c r="M12" i="1"/>
  <c r="I12" i="1"/>
  <c r="H12" i="1"/>
  <c r="G12" i="1"/>
  <c r="F12" i="1"/>
  <c r="M11" i="1"/>
  <c r="I11" i="1"/>
  <c r="H11" i="1"/>
  <c r="G11" i="1"/>
  <c r="F11" i="1"/>
  <c r="M10" i="1"/>
  <c r="I10" i="1"/>
  <c r="H10" i="1"/>
  <c r="G10" i="1"/>
  <c r="F10" i="1"/>
  <c r="M9" i="1"/>
  <c r="H9" i="1"/>
  <c r="G9" i="1"/>
  <c r="F9" i="1"/>
  <c r="M8" i="1"/>
  <c r="I8" i="1"/>
  <c r="H8" i="1"/>
  <c r="G8" i="1"/>
  <c r="F8" i="1"/>
  <c r="M7" i="1"/>
  <c r="I7" i="1"/>
  <c r="H7" i="1"/>
  <c r="G7" i="1"/>
  <c r="F7" i="1"/>
  <c r="M6" i="1"/>
  <c r="I6" i="1"/>
  <c r="H6" i="1"/>
  <c r="G6" i="1"/>
  <c r="F6" i="1"/>
  <c r="M5" i="1"/>
  <c r="I5" i="1"/>
  <c r="H5" i="1"/>
  <c r="G5" i="1"/>
  <c r="F5" i="1"/>
  <c r="M4" i="1"/>
  <c r="I4" i="1"/>
  <c r="H4" i="1"/>
  <c r="G4" i="1"/>
  <c r="F4" i="1"/>
  <c r="M3" i="1"/>
  <c r="I3" i="1"/>
  <c r="H3" i="1"/>
  <c r="G3" i="1"/>
  <c r="F3" i="1"/>
  <c r="D16" i="17" l="1"/>
  <c r="F4" i="17"/>
  <c r="A15" i="16"/>
  <c r="A14" i="16"/>
  <c r="A13" i="16"/>
  <c r="A12" i="16"/>
  <c r="A11" i="16"/>
  <c r="A10" i="16"/>
  <c r="A9" i="16"/>
  <c r="A8" i="16"/>
  <c r="A7" i="16"/>
  <c r="A6" i="16"/>
  <c r="A5" i="16"/>
  <c r="A9" i="13"/>
  <c r="A8" i="13"/>
  <c r="A7" i="13"/>
  <c r="A6" i="13"/>
  <c r="A5" i="13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<sst xmlns="http://schemas.openxmlformats.org/spreadsheetml/2006/main" count="2204" uniqueCount="357">
  <si>
    <t>💰 PERSONAL FINANCE &amp; BUDGET PLANNER</t>
  </si>
  <si>
    <t>-------EXECUTIVE DASHBOARD &amp; FINANCIAL ANALYTICS SYSTEM-------</t>
  </si>
  <si>
    <t>WELCOME</t>
  </si>
  <si>
    <t>Project Name</t>
  </si>
  <si>
    <t>Personal Finance &amp; Budget Planner</t>
  </si>
  <si>
    <t>Developed By</t>
  </si>
  <si>
    <t>Abhijit Roy &amp; Aakash Nath</t>
  </si>
  <si>
    <t>•Track • Analyze • Save • Grow</t>
  </si>
  <si>
    <t>Technology</t>
  </si>
  <si>
    <t>Microsoft Excel</t>
  </si>
  <si>
    <t>Features</t>
  </si>
  <si>
    <t>KPI Dashboard, Pivot Analysis,
Budget Tracking &amp; Insights</t>
  </si>
  <si>
    <t>Academic Year</t>
  </si>
  <si>
    <t>Institute</t>
  </si>
  <si>
    <t>Anudip Foundation, COE</t>
  </si>
  <si>
    <t>START DASHBOARD</t>
  </si>
  <si>
    <t>VIEW RAW DATA</t>
  </si>
  <si>
    <t>INCOME ANALYSIS</t>
  </si>
  <si>
    <t>EXPENSE ANALYSIS</t>
  </si>
  <si>
    <t>PIVOT ANALYSIS</t>
  </si>
  <si>
    <t>© 2025 Personal Finance &amp; Budget Planner | Developed using Microsoft Excel 🗝️</t>
  </si>
  <si>
    <t>RAW DATA</t>
  </si>
  <si>
    <t>Go to Welcome Page</t>
  </si>
  <si>
    <t>Id</t>
  </si>
  <si>
    <t>Date</t>
  </si>
  <si>
    <t>Month</t>
  </si>
  <si>
    <t>Person Name</t>
  </si>
  <si>
    <t>Age</t>
  </si>
  <si>
    <t>City</t>
  </si>
  <si>
    <t>Income Source</t>
  </si>
  <si>
    <t>Monthly Income</t>
  </si>
  <si>
    <t>ExpenseCategory</t>
  </si>
  <si>
    <t>Expense Amount</t>
  </si>
  <si>
    <t>Payment Method</t>
  </si>
  <si>
    <t>Savings</t>
  </si>
  <si>
    <t>Loan EMI</t>
  </si>
  <si>
    <t>Credit Score</t>
  </si>
  <si>
    <t>Financial Status</t>
  </si>
  <si>
    <t>TXN1001</t>
  </si>
  <si>
    <t>January</t>
  </si>
  <si>
    <t>Rahul Sen</t>
  </si>
  <si>
    <t>Kolkata</t>
  </si>
  <si>
    <t>Salary</t>
  </si>
  <si>
    <t>Rent</t>
  </si>
  <si>
    <t>UPI</t>
  </si>
  <si>
    <t>Stable</t>
  </si>
  <si>
    <t>TXN1002</t>
  </si>
  <si>
    <t>February</t>
  </si>
  <si>
    <t>Priya Das</t>
  </si>
  <si>
    <t>Mumbai</t>
  </si>
  <si>
    <t>Freelancing</t>
  </si>
  <si>
    <t>Groceries</t>
  </si>
  <si>
    <t>Card</t>
  </si>
  <si>
    <t>Good</t>
  </si>
  <si>
    <t>TXN1003</t>
  </si>
  <si>
    <t>March</t>
  </si>
  <si>
    <t>Ankit Roy</t>
  </si>
  <si>
    <t>Cash</t>
  </si>
  <si>
    <t>Average</t>
  </si>
  <si>
    <t>TXN1004</t>
  </si>
  <si>
    <t>April</t>
  </si>
  <si>
    <t>Sneha Paul</t>
  </si>
  <si>
    <t>Bangalore</t>
  </si>
  <si>
    <t>Business</t>
  </si>
  <si>
    <t>Utilities</t>
  </si>
  <si>
    <t>NetBanking</t>
  </si>
  <si>
    <t>Excellent</t>
  </si>
  <si>
    <t>TXN1005</t>
  </si>
  <si>
    <t>May</t>
  </si>
  <si>
    <t>Rohan Mitra</t>
  </si>
  <si>
    <t>Hyderabad</t>
  </si>
  <si>
    <t>Entertainment</t>
  </si>
  <si>
    <t>Risky</t>
  </si>
  <si>
    <t>TXN1006</t>
  </si>
  <si>
    <t>June</t>
  </si>
  <si>
    <t>Aditi Sharma</t>
  </si>
  <si>
    <t>Pune</t>
  </si>
  <si>
    <t>Healthcare</t>
  </si>
  <si>
    <t>TXN1007</t>
  </si>
  <si>
    <t>July</t>
  </si>
  <si>
    <t>Karan Singh</t>
  </si>
  <si>
    <t>Chennai</t>
  </si>
  <si>
    <t>Cheque</t>
  </si>
  <si>
    <t>TXN1008</t>
  </si>
  <si>
    <t>August</t>
  </si>
  <si>
    <t>Megha Dutta</t>
  </si>
  <si>
    <t>Internship</t>
  </si>
  <si>
    <t>Education</t>
  </si>
  <si>
    <t>TXN1009</t>
  </si>
  <si>
    <t>September</t>
  </si>
  <si>
    <t>Arjun Nair</t>
  </si>
  <si>
    <t>Kochi</t>
  </si>
  <si>
    <t>TXN1010</t>
  </si>
  <si>
    <t>October</t>
  </si>
  <si>
    <t>Neha Kapoor</t>
  </si>
  <si>
    <t>Jaipur</t>
  </si>
  <si>
    <t>Shopping</t>
  </si>
  <si>
    <t>TXN1011</t>
  </si>
  <si>
    <t>November</t>
  </si>
  <si>
    <t>Vikram Bose</t>
  </si>
  <si>
    <t>Investment</t>
  </si>
  <si>
    <t>TXN1012</t>
  </si>
  <si>
    <t>December</t>
  </si>
  <si>
    <t>Isha Jain</t>
  </si>
  <si>
    <t>Delhi</t>
  </si>
  <si>
    <t>Food</t>
  </si>
  <si>
    <t>TXN1013</t>
  </si>
  <si>
    <t>Sourav Ghosh</t>
  </si>
  <si>
    <t>TXN1014</t>
  </si>
  <si>
    <t>Ritika Sen</t>
  </si>
  <si>
    <t>TXN1015</t>
  </si>
  <si>
    <t>Abhishek Das</t>
  </si>
  <si>
    <t>TXN1016</t>
  </si>
  <si>
    <t>Nikita Roy</t>
  </si>
  <si>
    <t>TXN1017</t>
  </si>
  <si>
    <t>Manish Yadav</t>
  </si>
  <si>
    <t>Transport</t>
  </si>
  <si>
    <t>TXN1018</t>
  </si>
  <si>
    <t>Simran Kaur</t>
  </si>
  <si>
    <t>Chandigarh</t>
  </si>
  <si>
    <t>TXN1019</t>
  </si>
  <si>
    <t>Raj Malhotra</t>
  </si>
  <si>
    <t>TXN1020</t>
  </si>
  <si>
    <t>Pooja Mehta</t>
  </si>
  <si>
    <t>Ahmedabad</t>
  </si>
  <si>
    <t>TXN1021</t>
  </si>
  <si>
    <t>Deepak Kumar</t>
  </si>
  <si>
    <t>Patna</t>
  </si>
  <si>
    <t>TXN1022</t>
  </si>
  <si>
    <t>Tanvi Shah</t>
  </si>
  <si>
    <t>Surat</t>
  </si>
  <si>
    <t>TXN1023</t>
  </si>
  <si>
    <t>Ritesh Verma</t>
  </si>
  <si>
    <t>TXN1024</t>
  </si>
  <si>
    <t>Ananya Ghosh</t>
  </si>
  <si>
    <t>TXN1025</t>
  </si>
  <si>
    <t>Kunal Sharma</t>
  </si>
  <si>
    <t>TXN1075</t>
  </si>
  <si>
    <t>Amit Bose</t>
  </si>
  <si>
    <t>Travel</t>
  </si>
  <si>
    <t>TXN1076</t>
  </si>
  <si>
    <t>Sonia Jain</t>
  </si>
  <si>
    <t>TXN1077</t>
  </si>
  <si>
    <t>Harsh Vardhan</t>
  </si>
  <si>
    <t>TXN1078</t>
  </si>
  <si>
    <t>Ankita Sen</t>
  </si>
  <si>
    <t>TXN1079</t>
  </si>
  <si>
    <t>Rohan Sharma</t>
  </si>
  <si>
    <t>TXN1080</t>
  </si>
  <si>
    <t>Priya Roy</t>
  </si>
  <si>
    <t>TXN1081</t>
  </si>
  <si>
    <t>Abhishek Jain</t>
  </si>
  <si>
    <t>TXN1082</t>
  </si>
  <si>
    <t>Tania Das</t>
  </si>
  <si>
    <t>TXN1083</t>
  </si>
  <si>
    <t>Manish Roy</t>
  </si>
  <si>
    <t>TXN1084</t>
  </si>
  <si>
    <t>Sweta Kapoor</t>
  </si>
  <si>
    <t>TXN1085</t>
  </si>
  <si>
    <t>Kunal Verma</t>
  </si>
  <si>
    <t>TXN1086</t>
  </si>
  <si>
    <t>Megha Roy</t>
  </si>
  <si>
    <t>TXN1087</t>
  </si>
  <si>
    <t>Rajat Das</t>
  </si>
  <si>
    <t>TXN1088</t>
  </si>
  <si>
    <t>Sneha Kapoor</t>
  </si>
  <si>
    <t>TXN1089</t>
  </si>
  <si>
    <t>Arvind Sharma</t>
  </si>
  <si>
    <t>TXN1090</t>
  </si>
  <si>
    <t>Neha Das</t>
  </si>
  <si>
    <t>TXN1091</t>
  </si>
  <si>
    <t>Rahul Mehta</t>
  </si>
  <si>
    <t>TXN1092</t>
  </si>
  <si>
    <t>Priyanka Roy</t>
  </si>
  <si>
    <t>TXN1093</t>
  </si>
  <si>
    <t>Vikas Jain</t>
  </si>
  <si>
    <t>TXN1094</t>
  </si>
  <si>
    <t>Sohini Sen</t>
  </si>
  <si>
    <t>TXN1095</t>
  </si>
  <si>
    <t>Ankit Sharma</t>
  </si>
  <si>
    <t>TXN1096</t>
  </si>
  <si>
    <t>Tina Roy</t>
  </si>
  <si>
    <t>TXN1097</t>
  </si>
  <si>
    <t>Rakesh Gupta</t>
  </si>
  <si>
    <t>TXN1098</t>
  </si>
  <si>
    <t>Pallabi Das</t>
  </si>
  <si>
    <t>TXN1099</t>
  </si>
  <si>
    <t>Sumit Roy</t>
  </si>
  <si>
    <t>TXN1100</t>
  </si>
  <si>
    <t>Ayesha Khan</t>
  </si>
  <si>
    <t>TXN1026</t>
  </si>
  <si>
    <t>Shreya Banerjee</t>
  </si>
  <si>
    <t>TXN1027</t>
  </si>
  <si>
    <t>Aman Verma</t>
  </si>
  <si>
    <t>TXN1028</t>
  </si>
  <si>
    <t>Niharika Bose</t>
  </si>
  <si>
    <t>TXN1029</t>
  </si>
  <si>
    <t>Rajeev Kumar</t>
  </si>
  <si>
    <t>TXN1030</t>
  </si>
  <si>
    <t>Anjali Roy</t>
  </si>
  <si>
    <t>TXN1031</t>
  </si>
  <si>
    <t>Sahil Mehta</t>
  </si>
  <si>
    <t>TXN1032</t>
  </si>
  <si>
    <t>Ritu Sharma</t>
  </si>
  <si>
    <t>TXN1033</t>
  </si>
  <si>
    <t>Vivek Singh</t>
  </si>
  <si>
    <t>TXN1034</t>
  </si>
  <si>
    <t>Pallavi Das</t>
  </si>
  <si>
    <t>TXN1035</t>
  </si>
  <si>
    <t>Arindam Sen</t>
  </si>
  <si>
    <t>TXN1036</t>
  </si>
  <si>
    <t>Neeraj Kapoor</t>
  </si>
  <si>
    <t>TXN1037</t>
  </si>
  <si>
    <t>Komal Jain</t>
  </si>
  <si>
    <t>TXN1038</t>
  </si>
  <si>
    <t>Harsh Patel</t>
  </si>
  <si>
    <t>TXN1039</t>
  </si>
  <si>
    <t>Sonia Gupta</t>
  </si>
  <si>
    <t>TXN1040</t>
  </si>
  <si>
    <t>Kolkatta</t>
  </si>
  <si>
    <t xml:space="preserve"> Salary </t>
  </si>
  <si>
    <t>TXN1041</t>
  </si>
  <si>
    <t>Tina Dey</t>
  </si>
  <si>
    <t>TXN1042</t>
  </si>
  <si>
    <t>Aditya Rao</t>
  </si>
  <si>
    <t>TXN1043</t>
  </si>
  <si>
    <t>Meenakshi Iyer</t>
  </si>
  <si>
    <t>TXN1044</t>
  </si>
  <si>
    <t>Rakesh Yadav</t>
  </si>
  <si>
    <t>TXN1045</t>
  </si>
  <si>
    <t>Swati Ghosh</t>
  </si>
  <si>
    <t>TXN1046</t>
  </si>
  <si>
    <t>Imran Ali</t>
  </si>
  <si>
    <t>TXN1047</t>
  </si>
  <si>
    <t>Priyanka Sen</t>
  </si>
  <si>
    <t>TXN1048</t>
  </si>
  <si>
    <t>Ajay Malhotra</t>
  </si>
  <si>
    <t>TXN1049</t>
  </si>
  <si>
    <t>Nupur Das</t>
  </si>
  <si>
    <t>TXN1050</t>
  </si>
  <si>
    <t>Karan Oberoi</t>
  </si>
  <si>
    <t>TXN1051</t>
  </si>
  <si>
    <t>Shivani Roy</t>
  </si>
  <si>
    <t>TXN1052</t>
  </si>
  <si>
    <t>Manav Jain</t>
  </si>
  <si>
    <t>TXN1053</t>
  </si>
  <si>
    <t>Snehal Patil</t>
  </si>
  <si>
    <t>TXN1054</t>
  </si>
  <si>
    <t>Rohit Das</t>
  </si>
  <si>
    <t>TXN1055</t>
  </si>
  <si>
    <t>Ananya Kapoor</t>
  </si>
  <si>
    <t>TXN1056</t>
  </si>
  <si>
    <t>Deep Roy</t>
  </si>
  <si>
    <t>TXN1057</t>
  </si>
  <si>
    <t>Tarun Singh</t>
  </si>
  <si>
    <t>TXN1058</t>
  </si>
  <si>
    <t>Pooja Sharma</t>
  </si>
  <si>
    <t>TXN1059</t>
  </si>
  <si>
    <t>Abhinav Bose</t>
  </si>
  <si>
    <t>TXN1060</t>
  </si>
  <si>
    <t>Ritika Das</t>
  </si>
  <si>
    <t>TXN1061</t>
  </si>
  <si>
    <t>Vinay Kumar</t>
  </si>
  <si>
    <t>TXN1062</t>
  </si>
  <si>
    <t>Neha Sen</t>
  </si>
  <si>
    <t>TXN1063</t>
  </si>
  <si>
    <t>Rajat Sharma</t>
  </si>
  <si>
    <t>TXN1064</t>
  </si>
  <si>
    <t>Ishita Roy</t>
  </si>
  <si>
    <t>TXN1065</t>
  </si>
  <si>
    <t>Sandeep Jain</t>
  </si>
  <si>
    <t>TXN1066</t>
  </si>
  <si>
    <t>Monika Gupta</t>
  </si>
  <si>
    <t>TXN1067</t>
  </si>
  <si>
    <t>Arjun Das</t>
  </si>
  <si>
    <t>TXN1068</t>
  </si>
  <si>
    <t>Preeti Nair</t>
  </si>
  <si>
    <t>TXN1069</t>
  </si>
  <si>
    <t>Kishore Patel</t>
  </si>
  <si>
    <t>TXN1070</t>
  </si>
  <si>
    <t>Simran Das</t>
  </si>
  <si>
    <t>TXN1071</t>
  </si>
  <si>
    <t>Aditya Singh</t>
  </si>
  <si>
    <t>TXN1072</t>
  </si>
  <si>
    <t>Payal Roy</t>
  </si>
  <si>
    <t>DATA CLEANING PROCESS</t>
  </si>
  <si>
    <t>Expense Category</t>
  </si>
  <si>
    <t>City2</t>
  </si>
  <si>
    <t>Income Source2</t>
  </si>
  <si>
    <t>Expense Category2</t>
  </si>
  <si>
    <t>Loan EMI2</t>
  </si>
  <si>
    <t>Payment Method2</t>
  </si>
  <si>
    <t>CLEANED DATA</t>
  </si>
  <si>
    <t>Cash/UPI</t>
  </si>
  <si>
    <t>📈  INCOME ANALYSIS — SOURCE &amp; MONTHLY BREAKDOWN</t>
  </si>
  <si>
    <t>▌  MONTHLY INCOME SUMMARY</t>
  </si>
  <si>
    <t>TOTAL</t>
  </si>
  <si>
    <t>GRAND TOTAL</t>
  </si>
  <si>
    <t xml:space="preserve">i
</t>
  </si>
  <si>
    <t>💸  EXPENSE ANALYSIS — CATEGORY BREAKDOWN</t>
  </si>
  <si>
    <t>% OF TOTAL</t>
  </si>
  <si>
    <t>🏦  BUDGET ANALYSIS — PLANNED vs ACTUAL SPENDING</t>
  </si>
  <si>
    <t>▌  SET YOUR BUDGET TARGETS BELOW (Blue = Input Cells — change freely)</t>
  </si>
  <si>
    <t>Monthly Budget (₹)</t>
  </si>
  <si>
    <t>Actual (₹)</t>
  </si>
  <si>
    <t>Variance (₹)</t>
  </si>
  <si>
    <t>Var %</t>
  </si>
  <si>
    <t>Status</t>
  </si>
  <si>
    <t>Unknown</t>
  </si>
  <si>
    <t>Total Income</t>
  </si>
  <si>
    <t>Total Expense</t>
  </si>
  <si>
    <t>Total Savings</t>
  </si>
  <si>
    <t>EMI</t>
  </si>
  <si>
    <t>Net Surplus</t>
  </si>
  <si>
    <t>Amount</t>
  </si>
  <si>
    <t>💰  PERSONAL FINANCE &amp; BUDGET PLANNER  |  EXECUTIVE DASHBOARD</t>
  </si>
  <si>
    <t>Go to Welcome page</t>
  </si>
  <si>
    <t>Real-time KPI Tracker  ·  100 Transactions  ·  Multiple Cities  ·  FY 2024–25</t>
  </si>
  <si>
    <t>▌  KEY PERFORMANCE INDICATORS</t>
  </si>
  <si>
    <t>📈  TOTAL INCOME</t>
  </si>
  <si>
    <t>📉  TOTAL EXPENSES</t>
  </si>
  <si>
    <t>🏦  TOTAL SAVINGS</t>
  </si>
  <si>
    <t>Across All Sources</t>
  </si>
  <si>
    <t>All Categories</t>
  </si>
  <si>
    <t>Net Accumulated</t>
  </si>
  <si>
    <t>🏠  LOAN EMI</t>
  </si>
  <si>
    <t>⭐  AVG CREDIT SCORE</t>
  </si>
  <si>
    <t>💹  SAVINGS RATE</t>
  </si>
  <si>
    <t>Total EMI Paid</t>
  </si>
  <si>
    <t>Portfolio Average</t>
  </si>
  <si>
    <t>Income → Savings</t>
  </si>
  <si>
    <t>⚠️  EXPENSE RATIO</t>
  </si>
  <si>
    <t>📊  TRANSACTIONS</t>
  </si>
  <si>
    <t>👤  AVG INCOME</t>
  </si>
  <si>
    <t>Income Spent</t>
  </si>
  <si>
    <t>Total Records</t>
  </si>
  <si>
    <t>Per Person</t>
  </si>
  <si>
    <t>▌  INTERACTIVE ANALYSIS — MONTHLY INCOME vs EXPENSE vs SAVINGS</t>
  </si>
  <si>
    <t>▌  FINANCIAL STATUS DISTRIBUTION</t>
  </si>
  <si>
    <t>Count</t>
  </si>
  <si>
    <t>● Excellent</t>
  </si>
  <si>
    <t>● Good</t>
  </si>
  <si>
    <t>● Stable</t>
  </si>
  <si>
    <t>● Average</t>
  </si>
  <si>
    <t>● Risky</t>
  </si>
  <si>
    <t>▌  TOP CITIES — TOTAL SAVINGS (₹)</t>
  </si>
  <si>
    <t>Total Savings (₹)</t>
  </si>
  <si>
    <t xml:space="preserve">  Kolkata</t>
  </si>
  <si>
    <t xml:space="preserve">  Delhi</t>
  </si>
  <si>
    <t xml:space="preserve">  Ahmedabad</t>
  </si>
  <si>
    <t xml:space="preserve">  Bangalore</t>
  </si>
  <si>
    <t xml:space="preserve">  Mumbai</t>
  </si>
  <si>
    <t xml:space="preserve">  Unknown</t>
  </si>
  <si>
    <t xml:space="preserve">  Chennai</t>
  </si>
  <si>
    <t xml:space="preserve">  Patna</t>
  </si>
  <si>
    <t xml:space="preserve">   Dashboard auto-calculates from Cleaned Data sheet  |  Presented by Abhijit Roy &amp; Aakash Nath  |  © 2025 Personal Finance Planner</t>
  </si>
  <si>
    <r>
      <t xml:space="preserve">“Do not save what is left after spending,
spend what is left after saving.”
</t>
    </r>
    <r>
      <rPr>
        <b/>
        <i/>
        <sz val="18"/>
        <color rgb="FF00B0F0"/>
        <rFont val="Times New Roman"/>
        <family val="1"/>
      </rPr>
      <t>— Warren Buffett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</si>
</sst>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.0%"/>
    <numFmt numFmtId="166" formatCode="[$₹-4009]\ #,##0"/>
  </numFmts>
  <fonts count="72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20"/>
      <color theme="0"/>
      <name val="Times New Roman"/>
      <family val="1"/>
      <charset val="1"/>
    </font>
    <font>
      <b/>
      <sz val="11"/>
      <color theme="0"/>
      <name val="Times New Roman"/>
      <family val="1"/>
      <charset val="1"/>
    </font>
    <font>
      <b/>
      <sz val="18"/>
      <color rgb="FFD4AF37"/>
      <name val="Calibri"/>
      <charset val="1"/>
    </font>
    <font>
      <b/>
      <sz val="18"/>
      <color rgb="FFE74C3C"/>
      <name val="Calibri"/>
      <charset val="1"/>
    </font>
    <font>
      <sz val="11"/>
      <color theme="1"/>
      <name val="Calibri"/>
      <family val="2"/>
      <charset val="1"/>
    </font>
    <font>
      <b/>
      <sz val="11"/>
      <color rgb="FF031224"/>
      <name val="Calibri"/>
      <charset val="1"/>
    </font>
    <font>
      <sz val="11"/>
      <color rgb="FF031224"/>
      <name val="Calibri"/>
      <family val="2"/>
      <charset val="1"/>
    </font>
    <font>
      <sz val="11"/>
      <color theme="0"/>
      <name val="Times New Roman"/>
      <family val="1"/>
      <charset val="1"/>
    </font>
    <font>
      <sz val="11"/>
      <color rgb="FFFF0000"/>
      <name val="Calibri"/>
      <family val="2"/>
      <charset val="1"/>
    </font>
    <font>
      <sz val="11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sz val="14"/>
      <color rgb="FFFFFFFF"/>
      <name val="Calibri"/>
    </font>
    <font>
      <sz val="11"/>
      <color theme="1"/>
      <name val="Bookman Old Style"/>
    </font>
    <font>
      <sz val="14"/>
      <color rgb="FF00D4FF"/>
      <name val="Century Schoolbook"/>
    </font>
    <font>
      <b/>
      <sz val="20"/>
      <color theme="5" tint="0.39997558519241921"/>
      <name val="Times New Roman"/>
      <family val="1"/>
    </font>
    <font>
      <b/>
      <u/>
      <sz val="10"/>
      <color theme="0"/>
      <name val="Times New Roman"/>
      <family val="1"/>
    </font>
    <font>
      <b/>
      <sz val="28"/>
      <color rgb="FFC00000"/>
      <name val="Times New Roman"/>
      <family val="1"/>
    </font>
    <font>
      <b/>
      <sz val="18"/>
      <color rgb="FF00D4FF"/>
      <name val="Times New Roman"/>
      <family val="1"/>
    </font>
    <font>
      <b/>
      <i/>
      <sz val="18"/>
      <color rgb="FFFFFFFF"/>
      <name val="Times New Roman"/>
      <family val="1"/>
    </font>
    <font>
      <b/>
      <i/>
      <sz val="18"/>
      <color rgb="FF00B0F0"/>
      <name val="Times New Roman"/>
      <family val="1"/>
    </font>
    <font>
      <b/>
      <u/>
      <sz val="14"/>
      <color theme="0"/>
      <name val="Times New Roman"/>
      <family val="1"/>
    </font>
    <font>
      <b/>
      <sz val="36"/>
      <color rgb="FFFFFFFF"/>
      <name val="Times New Roman"/>
      <family val="1"/>
    </font>
    <font>
      <b/>
      <sz val="12"/>
      <color rgb="FF00D4FF"/>
      <name val="Times New Roman"/>
      <family val="1"/>
    </font>
    <font>
      <sz val="12"/>
      <color rgb="FFFFFFFF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B0F0"/>
      <name val="Times New Roman"/>
      <family val="1"/>
    </font>
    <font>
      <sz val="10"/>
      <color rgb="FFFFFFFF"/>
      <name val="Times New Roman"/>
      <family val="1"/>
    </font>
    <font>
      <sz val="13"/>
      <color rgb="FFFFFFFF"/>
      <name val="Times New Roman"/>
      <family val="1"/>
    </font>
    <font>
      <b/>
      <u/>
      <sz val="9"/>
      <color theme="0"/>
      <name val="Times New Roman"/>
      <family val="1"/>
    </font>
    <font>
      <b/>
      <sz val="18"/>
      <color theme="7" tint="0.39997558519241921"/>
      <name val="Times New Roman"/>
      <family val="1"/>
    </font>
    <font>
      <b/>
      <sz val="12"/>
      <color theme="0"/>
      <name val="Times New Roman"/>
      <family val="1"/>
    </font>
    <font>
      <b/>
      <u/>
      <sz val="11"/>
      <color theme="0"/>
      <name val="Times New Roman"/>
      <family val="1"/>
    </font>
    <font>
      <b/>
      <u/>
      <sz val="12"/>
      <color theme="0"/>
      <name val="Times New Roman"/>
      <family val="1"/>
    </font>
    <font>
      <b/>
      <sz val="18"/>
      <color rgb="FFE74C3C"/>
      <name val="Times New Roman"/>
      <family val="1"/>
    </font>
    <font>
      <b/>
      <sz val="12"/>
      <color rgb="FFC00000"/>
      <name val="Times New Roman"/>
      <family val="1"/>
    </font>
    <font>
      <b/>
      <sz val="12"/>
      <color rgb="FFFFFFFF"/>
      <name val="Times New Roman"/>
      <family val="1"/>
    </font>
    <font>
      <b/>
      <sz val="18"/>
      <color rgb="FF00FEE6"/>
      <name val="Times New Roman"/>
      <family val="1"/>
    </font>
    <font>
      <b/>
      <sz val="18"/>
      <color rgb="FF00897B"/>
      <name val="Times New Roman"/>
      <family val="1"/>
    </font>
    <font>
      <b/>
      <sz val="12"/>
      <color rgb="FFFFFF00"/>
      <name val="Times New Roman"/>
      <family val="1"/>
    </font>
    <font>
      <b/>
      <sz val="12"/>
      <color rgb="FF2ECC71"/>
      <name val="Times New Roman"/>
      <family val="1"/>
    </font>
    <font>
      <b/>
      <sz val="12"/>
      <color theme="0" tint="-4.9989318521683403E-2"/>
      <name val="Times New Roman"/>
      <family val="1"/>
    </font>
    <font>
      <b/>
      <sz val="11"/>
      <color theme="0"/>
      <name val="Times New Roman"/>
      <family val="1"/>
    </font>
    <font>
      <sz val="11"/>
      <color rgb="FFF0D060"/>
      <name val="Times New Roman"/>
      <family val="1"/>
    </font>
    <font>
      <sz val="11"/>
      <color theme="0"/>
      <name val="Times New Roman"/>
      <family val="1"/>
    </font>
    <font>
      <b/>
      <sz val="11"/>
      <color theme="7" tint="0.39997558519241921"/>
      <name val="Times New Roman"/>
      <family val="1"/>
    </font>
    <font>
      <sz val="12"/>
      <color theme="0"/>
      <name val="Times New Roman"/>
      <family val="1"/>
    </font>
    <font>
      <b/>
      <sz val="22"/>
      <color rgb="FF00B0F0"/>
      <name val="Times New Roman"/>
      <family val="1"/>
    </font>
    <font>
      <i/>
      <sz val="10"/>
      <color rgb="FFB8C4CE"/>
      <name val="Times New Roman"/>
      <family val="1"/>
    </font>
    <font>
      <b/>
      <sz val="9"/>
      <color rgb="FFB8C4CE"/>
      <name val="Times New Roman"/>
      <family val="1"/>
    </font>
    <font>
      <b/>
      <sz val="18"/>
      <color rgb="FF00B0F0"/>
      <name val="Times New Roman"/>
      <family val="1"/>
    </font>
    <font>
      <b/>
      <sz val="18"/>
      <color rgb="FFC00000"/>
      <name val="Times New Roman"/>
      <family val="1"/>
    </font>
    <font>
      <b/>
      <sz val="12"/>
      <color rgb="FF00C2D4"/>
      <name val="Times New Roman"/>
      <family val="1"/>
    </font>
    <font>
      <b/>
      <sz val="10"/>
      <color rgb="FF00C2D4"/>
      <name val="Times New Roman"/>
      <family val="1"/>
    </font>
    <font>
      <b/>
      <sz val="11"/>
      <color rgb="FF2ECC71"/>
      <name val="Times New Roman"/>
      <family val="1"/>
    </font>
    <font>
      <b/>
      <sz val="13"/>
      <color rgb="FFFFFFFF"/>
      <name val="Times New Roman"/>
      <family val="1"/>
    </font>
    <font>
      <b/>
      <sz val="11"/>
      <color rgb="FF00897B"/>
      <name val="Times New Roman"/>
      <family val="1"/>
    </font>
    <font>
      <b/>
      <sz val="11"/>
      <color rgb="FFD4AF37"/>
      <name val="Times New Roman"/>
      <family val="1"/>
    </font>
    <font>
      <b/>
      <sz val="11"/>
      <color rgb="FFF39C12"/>
      <name val="Times New Roman"/>
      <family val="1"/>
    </font>
    <font>
      <b/>
      <sz val="11"/>
      <color rgb="FFE74C3C"/>
      <name val="Times New Roman"/>
      <family val="1"/>
    </font>
    <font>
      <b/>
      <sz val="12"/>
      <color rgb="FFD4AF37"/>
      <name val="Times New Roman"/>
      <family val="1"/>
    </font>
    <font>
      <b/>
      <sz val="10"/>
      <color rgb="FFD4AF37"/>
      <name val="Times New Roman"/>
      <family val="1"/>
    </font>
    <font>
      <b/>
      <sz val="10"/>
      <color rgb="FFFFFFFF"/>
      <name val="Times New Roman"/>
      <family val="1"/>
    </font>
    <font>
      <sz val="10"/>
      <color rgb="FF00C2D4"/>
      <name val="Times New Roman"/>
      <family val="1"/>
    </font>
    <font>
      <sz val="10"/>
      <color rgb="FF2ECC71"/>
      <name val="Times New Roman"/>
      <family val="1"/>
    </font>
    <font>
      <sz val="10"/>
      <color rgb="FF00897B"/>
      <name val="Times New Roman"/>
      <family val="1"/>
    </font>
    <font>
      <sz val="10"/>
      <color rgb="FFF39C12"/>
      <name val="Times New Roman"/>
      <family val="1"/>
    </font>
    <font>
      <sz val="10"/>
      <color rgb="FF7C4DFF"/>
      <name val="Times New Roman"/>
      <family val="1"/>
    </font>
    <font>
      <sz val="10"/>
      <color rgb="FFE91E8C"/>
      <name val="Times New Roman"/>
      <family val="1"/>
    </font>
    <font>
      <sz val="10"/>
      <color rgb="FFE74C3C"/>
      <name val="Times New Roman"/>
      <family val="1"/>
    </font>
  </fonts>
  <fills count="22">
    <fill>
      <patternFill patternType="none"/>
    </fill>
    <fill>
      <patternFill patternType="gray125"/>
    </fill>
    <fill>
      <patternFill patternType="solid">
        <fgColor theme="4" tint="-0.499984740745262"/>
        <bgColor rgb="FF1B2A3B"/>
      </patternFill>
    </fill>
    <fill>
      <patternFill patternType="solid">
        <fgColor rgb="FF0D1B2A"/>
        <bgColor rgb="FF0A1628"/>
      </patternFill>
    </fill>
    <fill>
      <patternFill patternType="solid">
        <fgColor rgb="FF1B2A3B"/>
        <bgColor rgb="FF152232"/>
      </patternFill>
    </fill>
    <fill>
      <patternFill patternType="solid">
        <fgColor rgb="FF152232"/>
        <bgColor rgb="FF0D1B2A"/>
      </patternFill>
    </fill>
    <fill>
      <patternFill patternType="solid">
        <fgColor rgb="FF0A1628"/>
        <bgColor rgb="FF0D1B2A"/>
      </patternFill>
    </fill>
    <fill>
      <patternFill patternType="solid">
        <fgColor rgb="FF031224"/>
        <bgColor indexed="64"/>
      </patternFill>
    </fill>
    <fill>
      <patternFill patternType="solid">
        <fgColor rgb="FF041529"/>
        <bgColor indexed="64"/>
      </patternFill>
    </fill>
    <fill>
      <patternFill patternType="solid">
        <fgColor rgb="FF04204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71A2F"/>
      </patternFill>
    </fill>
    <fill>
      <patternFill patternType="solid">
        <fgColor rgb="FF051A33"/>
        <bgColor indexed="64"/>
      </patternFill>
    </fill>
    <fill>
      <patternFill patternType="solid">
        <fgColor rgb="FF0BB09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00CC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9" tint="0.39988402966399123"/>
      </left>
      <right/>
      <top/>
      <bottom style="thin">
        <color theme="9" tint="0.39988402966399123"/>
      </bottom>
      <diagonal/>
    </border>
    <border>
      <left/>
      <right/>
      <top/>
      <bottom style="thin">
        <color theme="9" tint="0.39988402966399123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rgb="FF00B0F0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/>
      <right/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rgb="FF00B0F0"/>
      </left>
      <right/>
      <top/>
      <bottom/>
      <diagonal/>
    </border>
    <border>
      <left/>
      <right style="medium">
        <color rgb="FF00B0F0"/>
      </right>
      <top/>
      <bottom/>
      <diagonal/>
    </border>
    <border>
      <left/>
      <right/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theme="1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/>
      <top style="thin">
        <color auto="1"/>
      </top>
      <bottom style="medium">
        <color theme="1"/>
      </bottom>
      <diagonal/>
    </border>
    <border>
      <left/>
      <right/>
      <top style="thin">
        <color auto="1"/>
      </top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 style="thin">
        <color theme="1"/>
      </bottom>
      <diagonal/>
    </border>
    <border>
      <left style="thin">
        <color rgb="FFFF0000"/>
      </left>
      <right style="thin">
        <color rgb="FFFF0000"/>
      </right>
      <top style="thin">
        <color auto="1"/>
      </top>
      <bottom style="thin">
        <color rgb="FFFF0000"/>
      </bottom>
      <diagonal/>
    </border>
    <border>
      <left/>
      <right/>
      <top style="medium">
        <color rgb="FFFF0000"/>
      </top>
      <bottom style="thin">
        <color theme="1"/>
      </bottom>
      <diagonal/>
    </border>
    <border>
      <left style="medium">
        <color rgb="FFFF0000"/>
      </left>
      <right style="medium">
        <color rgb="FFFF0000"/>
      </right>
      <top style="thin">
        <color auto="1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</borders>
  <cellStyleXfs count="8">
    <xf numFmtId="0" fontId="0" fillId="0" borderId="0"/>
    <xf numFmtId="0" fontId="6" fillId="0" borderId="0">
      <alignment horizontal="left"/>
    </xf>
    <xf numFmtId="0" fontId="6" fillId="0" borderId="0"/>
    <xf numFmtId="0" fontId="6" fillId="0" borderId="0"/>
    <xf numFmtId="0" fontId="1" fillId="0" borderId="0"/>
    <xf numFmtId="0" fontId="1" fillId="0" borderId="0">
      <alignment horizontal="left"/>
    </xf>
    <xf numFmtId="0" fontId="6" fillId="0" borderId="0"/>
    <xf numFmtId="0" fontId="12" fillId="0" borderId="0" applyNumberFormat="0" applyFill="0" applyBorder="0" applyAlignment="0" applyProtection="0"/>
  </cellStyleXfs>
  <cellXfs count="201">
    <xf numFmtId="0" fontId="0" fillId="0" borderId="0" xfId="0"/>
    <xf numFmtId="0" fontId="0" fillId="0" borderId="0" xfId="0" applyAlignment="1"/>
    <xf numFmtId="0" fontId="0" fillId="3" borderId="0" xfId="0" applyFill="1" applyAlignment="1"/>
    <xf numFmtId="0" fontId="0" fillId="7" borderId="0" xfId="0" applyFill="1" applyAlignment="1"/>
    <xf numFmtId="0" fontId="8" fillId="7" borderId="0" xfId="0" applyFont="1" applyFill="1" applyAlignment="1"/>
    <xf numFmtId="0" fontId="8" fillId="7" borderId="0" xfId="0" applyFont="1" applyFill="1"/>
    <xf numFmtId="0" fontId="0" fillId="7" borderId="0" xfId="0" applyFill="1" applyBorder="1" applyAlignment="1"/>
    <xf numFmtId="0" fontId="10" fillId="7" borderId="0" xfId="0" applyFont="1" applyFill="1" applyAlignment="1"/>
    <xf numFmtId="0" fontId="9" fillId="10" borderId="1" xfId="0" applyFont="1" applyFill="1" applyBorder="1" applyAlignment="1">
      <alignment horizontal="center"/>
    </xf>
    <xf numFmtId="14" fontId="9" fillId="10" borderId="1" xfId="0" applyNumberFormat="1" applyFont="1" applyFill="1" applyBorder="1" applyAlignment="1">
      <alignment horizontal="center"/>
    </xf>
    <xf numFmtId="0" fontId="3" fillId="15" borderId="7" xfId="0" applyFont="1" applyFill="1" applyBorder="1" applyAlignment="1">
      <alignment horizontal="center"/>
    </xf>
    <xf numFmtId="0" fontId="3" fillId="15" borderId="8" xfId="0" applyFont="1" applyFill="1" applyBorder="1" applyAlignment="1">
      <alignment horizontal="center"/>
    </xf>
    <xf numFmtId="0" fontId="9" fillId="10" borderId="10" xfId="0" applyFont="1" applyFill="1" applyBorder="1" applyAlignment="1">
      <alignment horizontal="center"/>
    </xf>
    <xf numFmtId="14" fontId="9" fillId="10" borderId="10" xfId="0" applyNumberFormat="1" applyFont="1" applyFill="1" applyBorder="1" applyAlignment="1">
      <alignment horizontal="center"/>
    </xf>
    <xf numFmtId="0" fontId="3" fillId="15" borderId="1" xfId="0" applyFont="1" applyFill="1" applyBorder="1" applyAlignment="1">
      <alignment horizontal="center"/>
    </xf>
    <xf numFmtId="0" fontId="9" fillId="14" borderId="1" xfId="0" applyFont="1" applyFill="1" applyBorder="1" applyAlignment="1">
      <alignment horizontal="center"/>
    </xf>
    <xf numFmtId="0" fontId="11" fillId="0" borderId="0" xfId="0" applyFont="1" applyAlignment="1"/>
    <xf numFmtId="0" fontId="11" fillId="0" borderId="0" xfId="0" applyFont="1"/>
    <xf numFmtId="0" fontId="3" fillId="15" borderId="2" xfId="0" applyFont="1" applyFill="1" applyBorder="1" applyAlignment="1">
      <alignment horizontal="center"/>
    </xf>
    <xf numFmtId="0" fontId="3" fillId="15" borderId="3" xfId="0" applyFont="1" applyFill="1" applyBorder="1" applyAlignment="1">
      <alignment horizontal="center"/>
    </xf>
    <xf numFmtId="0" fontId="0" fillId="17" borderId="13" xfId="0" applyFill="1" applyBorder="1"/>
    <xf numFmtId="0" fontId="0" fillId="17" borderId="14" xfId="0" applyFill="1" applyBorder="1"/>
    <xf numFmtId="0" fontId="0" fillId="17" borderId="11" xfId="0" applyFill="1" applyBorder="1"/>
    <xf numFmtId="0" fontId="0" fillId="17" borderId="16" xfId="0" applyFill="1" applyBorder="1"/>
    <xf numFmtId="0" fontId="0" fillId="17" borderId="0" xfId="0" applyFill="1"/>
    <xf numFmtId="0" fontId="0" fillId="18" borderId="0" xfId="0" applyFill="1"/>
    <xf numFmtId="0" fontId="0" fillId="17" borderId="18" xfId="0" applyFill="1" applyBorder="1"/>
    <xf numFmtId="0" fontId="0" fillId="17" borderId="12" xfId="0" applyFill="1" applyBorder="1"/>
    <xf numFmtId="0" fontId="0" fillId="17" borderId="17" xfId="0" applyFill="1" applyBorder="1"/>
    <xf numFmtId="0" fontId="0" fillId="17" borderId="15" xfId="0" applyFill="1" applyBorder="1"/>
    <xf numFmtId="0" fontId="14" fillId="17" borderId="17" xfId="0" applyFont="1" applyFill="1" applyBorder="1"/>
    <xf numFmtId="0" fontId="14" fillId="17" borderId="0" xfId="0" applyFont="1" applyFill="1"/>
    <xf numFmtId="0" fontId="14" fillId="17" borderId="18" xfId="0" applyFont="1" applyFill="1" applyBorder="1"/>
    <xf numFmtId="0" fontId="5" fillId="4" borderId="0" xfId="0" applyFont="1" applyFill="1" applyBorder="1" applyAlignment="1">
      <alignment vertical="center" wrapText="1"/>
    </xf>
    <xf numFmtId="0" fontId="0" fillId="7" borderId="0" xfId="0" applyFill="1"/>
    <xf numFmtId="0" fontId="0" fillId="7" borderId="0" xfId="0" applyFill="1" applyAlignment="1">
      <alignment wrapText="1"/>
    </xf>
    <xf numFmtId="0" fontId="4" fillId="4" borderId="0" xfId="0" applyFont="1" applyFill="1" applyBorder="1" applyAlignment="1">
      <alignment vertical="center" wrapText="1"/>
    </xf>
    <xf numFmtId="0" fontId="3" fillId="15" borderId="25" xfId="0" applyFont="1" applyFill="1" applyBorder="1" applyAlignment="1">
      <alignment horizontal="center"/>
    </xf>
    <xf numFmtId="0" fontId="2" fillId="16" borderId="1" xfId="0" applyFont="1" applyFill="1" applyBorder="1" applyAlignment="1"/>
    <xf numFmtId="0" fontId="0" fillId="9" borderId="0" xfId="0" applyFill="1" applyAlignment="1"/>
    <xf numFmtId="0" fontId="0" fillId="9" borderId="0" xfId="0" applyFill="1"/>
    <xf numFmtId="0" fontId="26" fillId="17" borderId="18" xfId="0" applyFont="1" applyFill="1" applyBorder="1"/>
    <xf numFmtId="0" fontId="26" fillId="17" borderId="0" xfId="0" applyFont="1" applyFill="1"/>
    <xf numFmtId="0" fontId="30" fillId="17" borderId="18" xfId="0" applyFont="1" applyFill="1" applyBorder="1"/>
    <xf numFmtId="0" fontId="30" fillId="17" borderId="0" xfId="0" applyFont="1" applyFill="1" applyAlignment="1">
      <alignment horizontal="center"/>
    </xf>
    <xf numFmtId="0" fontId="26" fillId="17" borderId="17" xfId="0" applyFont="1" applyFill="1" applyBorder="1"/>
    <xf numFmtId="0" fontId="31" fillId="9" borderId="0" xfId="7" applyFont="1" applyFill="1" applyAlignment="1">
      <alignment horizontal="center" vertical="center"/>
    </xf>
    <xf numFmtId="166" fontId="9" fillId="10" borderId="10" xfId="0" applyNumberFormat="1" applyFont="1" applyFill="1" applyBorder="1" applyAlignment="1">
      <alignment horizontal="center"/>
    </xf>
    <xf numFmtId="166" fontId="9" fillId="10" borderId="1" xfId="0" applyNumberFormat="1" applyFont="1" applyFill="1" applyBorder="1" applyAlignment="1">
      <alignment horizontal="center"/>
    </xf>
    <xf numFmtId="0" fontId="33" fillId="15" borderId="4" xfId="0" applyFont="1" applyFill="1" applyBorder="1" applyAlignment="1">
      <alignment horizontal="center" vertical="center" wrapText="1"/>
    </xf>
    <xf numFmtId="0" fontId="33" fillId="15" borderId="4" xfId="0" applyFont="1" applyFill="1" applyBorder="1" applyAlignment="1">
      <alignment horizontal="left" vertical="center" wrapText="1"/>
    </xf>
    <xf numFmtId="166" fontId="25" fillId="9" borderId="4" xfId="0" applyNumberFormat="1" applyFont="1" applyFill="1" applyBorder="1" applyAlignment="1">
      <alignment horizontal="center" vertical="center" wrapText="1"/>
    </xf>
    <xf numFmtId="166" fontId="33" fillId="9" borderId="4" xfId="0" applyNumberFormat="1" applyFont="1" applyFill="1" applyBorder="1" applyAlignment="1">
      <alignment horizontal="center" vertical="center" wrapText="1"/>
    </xf>
    <xf numFmtId="166" fontId="33" fillId="10" borderId="4" xfId="0" applyNumberFormat="1" applyFont="1" applyFill="1" applyBorder="1" applyAlignment="1">
      <alignment horizontal="center" vertical="center" wrapText="1"/>
    </xf>
    <xf numFmtId="0" fontId="25" fillId="9" borderId="4" xfId="0" applyNumberFormat="1" applyFont="1" applyFill="1" applyBorder="1" applyAlignment="1">
      <alignment horizontal="center" vertical="center" wrapText="1"/>
    </xf>
    <xf numFmtId="0" fontId="26" fillId="3" borderId="0" xfId="0" applyFont="1" applyFill="1" applyAlignment="1"/>
    <xf numFmtId="165" fontId="33" fillId="5" borderId="4" xfId="0" applyNumberFormat="1" applyFont="1" applyFill="1" applyBorder="1" applyAlignment="1">
      <alignment horizontal="center" vertical="center" wrapText="1"/>
    </xf>
    <xf numFmtId="165" fontId="33" fillId="16" borderId="4" xfId="0" applyNumberFormat="1" applyFont="1" applyFill="1" applyBorder="1" applyAlignment="1">
      <alignment horizontal="center" vertical="center" wrapText="1"/>
    </xf>
    <xf numFmtId="166" fontId="37" fillId="5" borderId="4" xfId="0" applyNumberFormat="1" applyFont="1" applyFill="1" applyBorder="1" applyAlignment="1">
      <alignment horizontal="center" vertical="center" wrapText="1"/>
    </xf>
    <xf numFmtId="166" fontId="38" fillId="16" borderId="4" xfId="0" applyNumberFormat="1" applyFont="1" applyFill="1" applyBorder="1" applyAlignment="1">
      <alignment horizontal="center" vertical="center" wrapText="1"/>
    </xf>
    <xf numFmtId="166" fontId="37" fillId="16" borderId="4" xfId="0" applyNumberFormat="1" applyFont="1" applyFill="1" applyBorder="1" applyAlignment="1">
      <alignment horizontal="center" vertical="center" wrapText="1"/>
    </xf>
    <xf numFmtId="0" fontId="40" fillId="4" borderId="0" xfId="0" applyFont="1" applyFill="1" applyBorder="1" applyAlignment="1">
      <alignment vertical="center" wrapText="1"/>
    </xf>
    <xf numFmtId="0" fontId="27" fillId="3" borderId="0" xfId="0" applyFont="1" applyFill="1" applyAlignment="1"/>
    <xf numFmtId="0" fontId="38" fillId="15" borderId="4" xfId="0" applyFont="1" applyFill="1" applyBorder="1" applyAlignment="1">
      <alignment horizontal="left" vertical="center" wrapText="1"/>
    </xf>
    <xf numFmtId="0" fontId="42" fillId="11" borderId="4" xfId="0" applyFont="1" applyFill="1" applyBorder="1" applyAlignment="1">
      <alignment horizontal="center" vertical="center" wrapText="1"/>
    </xf>
    <xf numFmtId="0" fontId="42" fillId="9" borderId="4" xfId="0" applyFont="1" applyFill="1" applyBorder="1" applyAlignment="1">
      <alignment horizontal="center" vertical="center" wrapText="1"/>
    </xf>
    <xf numFmtId="0" fontId="38" fillId="15" borderId="4" xfId="0" applyFont="1" applyFill="1" applyBorder="1" applyAlignment="1">
      <alignment horizontal="center" vertical="center" wrapText="1"/>
    </xf>
    <xf numFmtId="165" fontId="38" fillId="16" borderId="4" xfId="0" applyNumberFormat="1" applyFont="1" applyFill="1" applyBorder="1" applyAlignment="1">
      <alignment horizontal="center" vertical="center" wrapText="1"/>
    </xf>
    <xf numFmtId="0" fontId="27" fillId="16" borderId="4" xfId="0" applyFont="1" applyFill="1" applyBorder="1" applyAlignment="1"/>
    <xf numFmtId="166" fontId="41" fillId="11" borderId="4" xfId="0" applyNumberFormat="1" applyFont="1" applyFill="1" applyBorder="1" applyAlignment="1">
      <alignment horizontal="center" vertical="center" wrapText="1"/>
    </xf>
    <xf numFmtId="166" fontId="41" fillId="9" borderId="4" xfId="0" applyNumberFormat="1" applyFont="1" applyFill="1" applyBorder="1" applyAlignment="1">
      <alignment horizontal="center" vertical="center" wrapText="1"/>
    </xf>
    <xf numFmtId="166" fontId="43" fillId="16" borderId="4" xfId="0" applyNumberFormat="1" applyFont="1" applyFill="1" applyBorder="1" applyAlignment="1">
      <alignment horizontal="center" vertical="center" wrapText="1"/>
    </xf>
    <xf numFmtId="0" fontId="44" fillId="15" borderId="4" xfId="0" applyFont="1" applyFill="1" applyBorder="1" applyAlignment="1">
      <alignment horizontal="center" vertical="center" wrapText="1"/>
    </xf>
    <xf numFmtId="0" fontId="26" fillId="9" borderId="0" xfId="0" applyFont="1" applyFill="1"/>
    <xf numFmtId="0" fontId="44" fillId="15" borderId="5" xfId="0" applyFont="1" applyFill="1" applyBorder="1" applyAlignment="1">
      <alignment horizontal="center" vertical="center" wrapText="1"/>
    </xf>
    <xf numFmtId="0" fontId="44" fillId="15" borderId="4" xfId="0" applyFont="1" applyFill="1" applyBorder="1" applyAlignment="1">
      <alignment horizontal="left" vertical="center" wrapText="1"/>
    </xf>
    <xf numFmtId="0" fontId="47" fillId="6" borderId="5" xfId="0" applyFont="1" applyFill="1" applyBorder="1" applyAlignment="1">
      <alignment horizontal="center" vertical="center" wrapText="1"/>
    </xf>
    <xf numFmtId="0" fontId="47" fillId="3" borderId="5" xfId="0" applyFont="1" applyFill="1" applyBorder="1" applyAlignment="1">
      <alignment horizontal="center" vertical="center" wrapText="1"/>
    </xf>
    <xf numFmtId="0" fontId="26" fillId="9" borderId="0" xfId="0" applyFont="1" applyFill="1" applyAlignment="1"/>
    <xf numFmtId="166" fontId="38" fillId="11" borderId="4" xfId="0" applyNumberFormat="1" applyFont="1" applyFill="1" applyBorder="1" applyAlignment="1">
      <alignment horizontal="center" vertical="center" wrapText="1"/>
    </xf>
    <xf numFmtId="166" fontId="43" fillId="11" borderId="4" xfId="0" applyNumberFormat="1" applyFont="1" applyFill="1" applyBorder="1" applyAlignment="1">
      <alignment horizontal="center" vertical="center" wrapText="1"/>
    </xf>
    <xf numFmtId="165" fontId="38" fillId="11" borderId="4" xfId="0" applyNumberFormat="1" applyFont="1" applyFill="1" applyBorder="1" applyAlignment="1">
      <alignment horizontal="center" vertical="center" wrapText="1"/>
    </xf>
    <xf numFmtId="166" fontId="38" fillId="9" borderId="4" xfId="0" applyNumberFormat="1" applyFont="1" applyFill="1" applyBorder="1" applyAlignment="1">
      <alignment horizontal="center" vertical="center" wrapText="1"/>
    </xf>
    <xf numFmtId="166" fontId="43" fillId="9" borderId="4" xfId="0" applyNumberFormat="1" applyFont="1" applyFill="1" applyBorder="1" applyAlignment="1">
      <alignment horizontal="center" vertical="center" wrapText="1"/>
    </xf>
    <xf numFmtId="165" fontId="38" fillId="9" borderId="4" xfId="0" applyNumberFormat="1" applyFont="1" applyFill="1" applyBorder="1" applyAlignment="1">
      <alignment horizontal="center" vertical="center" wrapText="1"/>
    </xf>
    <xf numFmtId="166" fontId="48" fillId="5" borderId="4" xfId="0" applyNumberFormat="1" applyFont="1" applyFill="1" applyBorder="1" applyAlignment="1">
      <alignment horizontal="center" vertical="center" wrapText="1"/>
    </xf>
    <xf numFmtId="0" fontId="48" fillId="5" borderId="4" xfId="0" applyNumberFormat="1" applyFont="1" applyFill="1" applyBorder="1" applyAlignment="1">
      <alignment horizontal="center" vertical="center" wrapText="1"/>
    </xf>
    <xf numFmtId="166" fontId="45" fillId="8" borderId="4" xfId="0" applyNumberFormat="1" applyFont="1" applyFill="1" applyBorder="1" applyAlignment="1">
      <alignment horizontal="center" vertical="center" wrapText="1"/>
    </xf>
    <xf numFmtId="166" fontId="46" fillId="8" borderId="4" xfId="0" applyNumberFormat="1" applyFont="1" applyFill="1" applyBorder="1" applyAlignment="1">
      <alignment horizontal="center" vertical="center" wrapText="1"/>
    </xf>
    <xf numFmtId="166" fontId="46" fillId="7" borderId="4" xfId="0" applyNumberFormat="1" applyFont="1" applyFill="1" applyBorder="1"/>
    <xf numFmtId="166" fontId="44" fillId="10" borderId="4" xfId="0" applyNumberFormat="1" applyFont="1" applyFill="1" applyBorder="1" applyAlignment="1">
      <alignment horizontal="center" vertical="center" wrapText="1"/>
    </xf>
    <xf numFmtId="166" fontId="46" fillId="10" borderId="4" xfId="0" applyNumberFormat="1" applyFont="1" applyFill="1" applyBorder="1"/>
    <xf numFmtId="166" fontId="44" fillId="6" borderId="5" xfId="0" applyNumberFormat="1" applyFont="1" applyFill="1" applyBorder="1" applyAlignment="1">
      <alignment horizontal="center" vertical="center" wrapText="1"/>
    </xf>
    <xf numFmtId="166" fontId="44" fillId="3" borderId="5" xfId="0" applyNumberFormat="1" applyFont="1" applyFill="1" applyBorder="1" applyAlignment="1">
      <alignment horizontal="center" vertical="center" wrapText="1"/>
    </xf>
    <xf numFmtId="0" fontId="8" fillId="7" borderId="29" xfId="0" applyFont="1" applyFill="1" applyBorder="1" applyAlignment="1"/>
    <xf numFmtId="0" fontId="35" fillId="7" borderId="30" xfId="7" applyFont="1" applyFill="1" applyBorder="1" applyAlignment="1">
      <alignment horizontal="center" vertical="center"/>
    </xf>
    <xf numFmtId="0" fontId="26" fillId="3" borderId="31" xfId="0" applyFont="1" applyFill="1" applyBorder="1" applyAlignment="1"/>
    <xf numFmtId="0" fontId="34" fillId="7" borderId="32" xfId="7" applyFont="1" applyFill="1" applyBorder="1" applyAlignment="1">
      <alignment horizontal="center" vertical="center"/>
    </xf>
    <xf numFmtId="0" fontId="26" fillId="0" borderId="0" xfId="0" applyFont="1"/>
    <xf numFmtId="0" fontId="26" fillId="12" borderId="0" xfId="0" applyFont="1" applyFill="1" applyAlignment="1"/>
    <xf numFmtId="0" fontId="26" fillId="13" borderId="0" xfId="0" applyFont="1" applyFill="1" applyAlignment="1"/>
    <xf numFmtId="0" fontId="26" fillId="4" borderId="0" xfId="0" applyFont="1" applyFill="1" applyAlignment="1"/>
    <xf numFmtId="0" fontId="26" fillId="0" borderId="0" xfId="0" applyFont="1" applyAlignment="1"/>
    <xf numFmtId="0" fontId="34" fillId="7" borderId="33" xfId="7" applyFont="1" applyFill="1" applyBorder="1" applyAlignment="1">
      <alignment horizontal="center" vertical="center"/>
    </xf>
    <xf numFmtId="0" fontId="29" fillId="17" borderId="6" xfId="0" applyFont="1" applyFill="1" applyBorder="1" applyAlignment="1">
      <alignment horizontal="left"/>
    </xf>
    <xf numFmtId="0" fontId="29" fillId="17" borderId="19" xfId="0" applyFont="1" applyFill="1" applyBorder="1" applyAlignment="1">
      <alignment horizontal="left"/>
    </xf>
    <xf numFmtId="0" fontId="29" fillId="17" borderId="20" xfId="0" applyFont="1" applyFill="1" applyBorder="1" applyAlignment="1">
      <alignment horizontal="left"/>
    </xf>
    <xf numFmtId="0" fontId="27" fillId="17" borderId="6" xfId="0" applyFont="1" applyFill="1" applyBorder="1" applyAlignment="1">
      <alignment horizontal="center"/>
    </xf>
    <xf numFmtId="0" fontId="27" fillId="17" borderId="19" xfId="0" applyFont="1" applyFill="1" applyBorder="1" applyAlignment="1">
      <alignment horizontal="center"/>
    </xf>
    <xf numFmtId="0" fontId="27" fillId="17" borderId="20" xfId="0" applyFont="1" applyFill="1" applyBorder="1" applyAlignment="1">
      <alignment horizontal="center"/>
    </xf>
    <xf numFmtId="0" fontId="13" fillId="17" borderId="12" xfId="0" applyFont="1" applyFill="1" applyBorder="1" applyAlignment="1">
      <alignment horizontal="center" vertical="center"/>
    </xf>
    <xf numFmtId="0" fontId="13" fillId="17" borderId="13" xfId="0" applyFont="1" applyFill="1" applyBorder="1" applyAlignment="1">
      <alignment horizontal="center" vertical="center"/>
    </xf>
    <xf numFmtId="0" fontId="13" fillId="17" borderId="14" xfId="0" applyFont="1" applyFill="1" applyBorder="1" applyAlignment="1">
      <alignment horizontal="center" vertical="center"/>
    </xf>
    <xf numFmtId="0" fontId="13" fillId="17" borderId="15" xfId="0" applyFont="1" applyFill="1" applyBorder="1" applyAlignment="1">
      <alignment horizontal="center" vertical="center"/>
    </xf>
    <xf numFmtId="0" fontId="13" fillId="17" borderId="11" xfId="0" applyFont="1" applyFill="1" applyBorder="1" applyAlignment="1">
      <alignment horizontal="center" vertical="center"/>
    </xf>
    <xf numFmtId="0" fontId="13" fillId="17" borderId="16" xfId="0" applyFont="1" applyFill="1" applyBorder="1" applyAlignment="1">
      <alignment horizontal="center" vertical="center"/>
    </xf>
    <xf numFmtId="0" fontId="24" fillId="17" borderId="6" xfId="0" applyFont="1" applyFill="1" applyBorder="1" applyAlignment="1"/>
    <xf numFmtId="0" fontId="24" fillId="17" borderId="19" xfId="0" applyFont="1" applyFill="1" applyBorder="1" applyAlignment="1"/>
    <xf numFmtId="0" fontId="24" fillId="17" borderId="20" xfId="0" applyFont="1" applyFill="1" applyBorder="1" applyAlignment="1"/>
    <xf numFmtId="0" fontId="25" fillId="17" borderId="6" xfId="0" applyFont="1" applyFill="1" applyBorder="1" applyAlignment="1"/>
    <xf numFmtId="0" fontId="25" fillId="17" borderId="19" xfId="0" applyFont="1" applyFill="1" applyBorder="1" applyAlignment="1"/>
    <xf numFmtId="0" fontId="25" fillId="17" borderId="20" xfId="0" applyFont="1" applyFill="1" applyBorder="1" applyAlignment="1"/>
    <xf numFmtId="0" fontId="22" fillId="19" borderId="0" xfId="7" applyFont="1" applyFill="1" applyAlignment="1">
      <alignment horizontal="center" vertical="center"/>
    </xf>
    <xf numFmtId="0" fontId="22" fillId="20" borderId="0" xfId="7" applyFont="1" applyFill="1" applyAlignment="1">
      <alignment horizontal="center" vertical="center"/>
    </xf>
    <xf numFmtId="0" fontId="22" fillId="21" borderId="0" xfId="7" applyFont="1" applyFill="1" applyAlignment="1">
      <alignment horizontal="center" vertical="center"/>
    </xf>
    <xf numFmtId="0" fontId="20" fillId="17" borderId="17" xfId="0" applyFont="1" applyFill="1" applyBorder="1" applyAlignment="1">
      <alignment horizontal="center" vertical="center" wrapText="1"/>
    </xf>
    <xf numFmtId="0" fontId="20" fillId="17" borderId="0" xfId="0" applyFont="1" applyFill="1" applyAlignment="1">
      <alignment horizontal="center" vertical="center" wrapText="1"/>
    </xf>
    <xf numFmtId="0" fontId="20" fillId="17" borderId="18" xfId="0" applyFont="1" applyFill="1" applyBorder="1" applyAlignment="1">
      <alignment horizontal="center" vertical="center" wrapText="1"/>
    </xf>
    <xf numFmtId="0" fontId="18" fillId="17" borderId="12" xfId="0" applyFont="1" applyFill="1" applyBorder="1" applyAlignment="1">
      <alignment horizontal="center" vertical="center"/>
    </xf>
    <xf numFmtId="0" fontId="18" fillId="17" borderId="13" xfId="0" applyFont="1" applyFill="1" applyBorder="1" applyAlignment="1">
      <alignment horizontal="center" vertical="center"/>
    </xf>
    <xf numFmtId="0" fontId="18" fillId="17" borderId="17" xfId="0" applyFont="1" applyFill="1" applyBorder="1" applyAlignment="1">
      <alignment horizontal="center" vertical="center"/>
    </xf>
    <xf numFmtId="0" fontId="18" fillId="17" borderId="0" xfId="0" applyFont="1" applyFill="1" applyAlignment="1">
      <alignment horizontal="center" vertical="center"/>
    </xf>
    <xf numFmtId="0" fontId="19" fillId="17" borderId="17" xfId="0" applyFont="1" applyFill="1" applyBorder="1" applyAlignment="1">
      <alignment horizontal="center"/>
    </xf>
    <xf numFmtId="0" fontId="19" fillId="17" borderId="0" xfId="0" applyFont="1" applyFill="1" applyAlignment="1">
      <alignment horizontal="center"/>
    </xf>
    <xf numFmtId="0" fontId="19" fillId="17" borderId="15" xfId="0" applyFont="1" applyFill="1" applyBorder="1" applyAlignment="1">
      <alignment horizontal="center"/>
    </xf>
    <xf numFmtId="0" fontId="19" fillId="17" borderId="11" xfId="0" applyFont="1" applyFill="1" applyBorder="1" applyAlignment="1">
      <alignment horizontal="center"/>
    </xf>
    <xf numFmtId="0" fontId="25" fillId="17" borderId="6" xfId="0" applyFont="1" applyFill="1" applyBorder="1" applyAlignment="1">
      <alignment horizontal="left"/>
    </xf>
    <xf numFmtId="0" fontId="25" fillId="17" borderId="19" xfId="0" applyFont="1" applyFill="1" applyBorder="1" applyAlignment="1">
      <alignment horizontal="left"/>
    </xf>
    <xf numFmtId="0" fontId="25" fillId="17" borderId="20" xfId="0" applyFont="1" applyFill="1" applyBorder="1" applyAlignment="1">
      <alignment horizontal="left"/>
    </xf>
    <xf numFmtId="0" fontId="23" fillId="17" borderId="17" xfId="0" applyFont="1" applyFill="1" applyBorder="1" applyAlignment="1">
      <alignment horizontal="center" vertical="center"/>
    </xf>
    <xf numFmtId="0" fontId="23" fillId="17" borderId="0" xfId="0" applyFont="1" applyFill="1" applyAlignment="1">
      <alignment horizontal="center" vertical="center"/>
    </xf>
    <xf numFmtId="0" fontId="23" fillId="17" borderId="18" xfId="0" applyFont="1" applyFill="1" applyBorder="1" applyAlignment="1">
      <alignment horizontal="center" vertical="center"/>
    </xf>
    <xf numFmtId="0" fontId="15" fillId="17" borderId="17" xfId="0" applyFont="1" applyFill="1" applyBorder="1" applyAlignment="1">
      <alignment horizontal="center"/>
    </xf>
    <xf numFmtId="0" fontId="15" fillId="17" borderId="0" xfId="0" applyFont="1" applyFill="1" applyAlignment="1">
      <alignment horizontal="center"/>
    </xf>
    <xf numFmtId="0" fontId="15" fillId="17" borderId="18" xfId="0" applyFont="1" applyFill="1" applyBorder="1" applyAlignment="1">
      <alignment horizontal="center"/>
    </xf>
    <xf numFmtId="0" fontId="28" fillId="17" borderId="6" xfId="0" applyFont="1" applyFill="1" applyBorder="1" applyAlignment="1"/>
    <xf numFmtId="0" fontId="28" fillId="17" borderId="19" xfId="0" applyFont="1" applyFill="1" applyBorder="1" applyAlignment="1"/>
    <xf numFmtId="0" fontId="28" fillId="17" borderId="20" xfId="0" applyFont="1" applyFill="1" applyBorder="1" applyAlignment="1"/>
    <xf numFmtId="0" fontId="2" fillId="16" borderId="23" xfId="0" applyFont="1" applyFill="1" applyBorder="1" applyAlignment="1">
      <alignment horizontal="center"/>
    </xf>
    <xf numFmtId="0" fontId="2" fillId="16" borderId="24" xfId="0" applyFont="1" applyFill="1" applyBorder="1" applyAlignment="1">
      <alignment horizontal="center"/>
    </xf>
    <xf numFmtId="0" fontId="2" fillId="16" borderId="26" xfId="0" applyFont="1" applyFill="1" applyBorder="1" applyAlignment="1">
      <alignment horizontal="center"/>
    </xf>
    <xf numFmtId="0" fontId="2" fillId="16" borderId="27" xfId="0" applyFont="1" applyFill="1" applyBorder="1" applyAlignment="1">
      <alignment horizontal="center"/>
    </xf>
    <xf numFmtId="0" fontId="2" fillId="16" borderId="28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7" fillId="7" borderId="0" xfId="0" applyFont="1" applyFill="1" applyBorder="1" applyAlignment="1">
      <alignment horizontal="center"/>
    </xf>
    <xf numFmtId="0" fontId="32" fillId="4" borderId="0" xfId="0" applyFont="1" applyFill="1" applyBorder="1" applyAlignment="1">
      <alignment horizontal="center" vertical="center" wrapText="1"/>
    </xf>
    <xf numFmtId="0" fontId="36" fillId="4" borderId="0" xfId="0" applyFont="1" applyFill="1" applyBorder="1" applyAlignment="1">
      <alignment horizontal="center" vertical="center" wrapText="1"/>
    </xf>
    <xf numFmtId="0" fontId="33" fillId="10" borderId="0" xfId="0" applyFont="1" applyFill="1" applyBorder="1" applyAlignment="1">
      <alignment horizontal="left"/>
    </xf>
    <xf numFmtId="0" fontId="39" fillId="4" borderId="0" xfId="0" applyFont="1" applyFill="1" applyBorder="1" applyAlignment="1">
      <alignment horizontal="center" vertical="center" wrapText="1"/>
    </xf>
    <xf numFmtId="0" fontId="16" fillId="8" borderId="21" xfId="0" applyFont="1" applyFill="1" applyBorder="1" applyAlignment="1">
      <alignment horizontal="center" vertical="center" wrapText="1"/>
    </xf>
    <xf numFmtId="0" fontId="16" fillId="8" borderId="0" xfId="0" applyFont="1" applyFill="1" applyBorder="1" applyAlignment="1">
      <alignment horizontal="center" vertical="center" wrapText="1"/>
    </xf>
    <xf numFmtId="0" fontId="44" fillId="9" borderId="21" xfId="0" applyFont="1" applyFill="1" applyBorder="1" applyAlignment="1">
      <alignment horizontal="center" vertical="center" wrapText="1"/>
    </xf>
    <xf numFmtId="0" fontId="44" fillId="9" borderId="0" xfId="0" applyFont="1" applyFill="1" applyBorder="1" applyAlignment="1">
      <alignment horizontal="center" vertical="center" wrapText="1"/>
    </xf>
    <xf numFmtId="0" fontId="44" fillId="9" borderId="22" xfId="0" applyFont="1" applyFill="1" applyBorder="1" applyAlignment="1">
      <alignment horizontal="center" vertical="center" wrapText="1"/>
    </xf>
    <xf numFmtId="0" fontId="50" fillId="4" borderId="7" xfId="0" applyFont="1" applyFill="1" applyBorder="1" applyAlignment="1">
      <alignment horizontal="center" vertical="center" wrapText="1"/>
    </xf>
    <xf numFmtId="0" fontId="50" fillId="4" borderId="8" xfId="0" applyFont="1" applyFill="1" applyBorder="1" applyAlignment="1">
      <alignment horizontal="center" vertical="center" wrapText="1"/>
    </xf>
    <xf numFmtId="0" fontId="50" fillId="4" borderId="9" xfId="0" applyFont="1" applyFill="1" applyBorder="1" applyAlignment="1">
      <alignment horizontal="center" vertical="center" wrapText="1"/>
    </xf>
    <xf numFmtId="0" fontId="69" fillId="5" borderId="0" xfId="0" applyFont="1" applyFill="1" applyBorder="1" applyAlignment="1">
      <alignment horizontal="left" vertical="center" wrapText="1"/>
    </xf>
    <xf numFmtId="166" fontId="64" fillId="5" borderId="0" xfId="0" applyNumberFormat="1" applyFont="1" applyFill="1" applyBorder="1" applyAlignment="1">
      <alignment horizontal="center" vertical="center"/>
    </xf>
    <xf numFmtId="0" fontId="70" fillId="6" borderId="0" xfId="0" applyFont="1" applyFill="1" applyBorder="1" applyAlignment="1">
      <alignment horizontal="left" vertical="center" wrapText="1"/>
    </xf>
    <xf numFmtId="166" fontId="64" fillId="6" borderId="0" xfId="0" applyNumberFormat="1" applyFont="1" applyFill="1" applyBorder="1" applyAlignment="1">
      <alignment horizontal="center" vertical="center"/>
    </xf>
    <xf numFmtId="0" fontId="71" fillId="5" borderId="0" xfId="0" applyFont="1" applyFill="1" applyBorder="1" applyAlignment="1">
      <alignment horizontal="left" vertical="center" wrapText="1"/>
    </xf>
    <xf numFmtId="0" fontId="66" fillId="6" borderId="0" xfId="0" applyFont="1" applyFill="1" applyBorder="1" applyAlignment="1">
      <alignment horizontal="left" vertical="center" wrapText="1"/>
    </xf>
    <xf numFmtId="0" fontId="67" fillId="5" borderId="0" xfId="0" applyFont="1" applyFill="1" applyBorder="1" applyAlignment="1">
      <alignment horizontal="left" vertical="center" wrapText="1"/>
    </xf>
    <xf numFmtId="0" fontId="68" fillId="6" borderId="0" xfId="0" applyFont="1" applyFill="1" applyBorder="1" applyAlignment="1">
      <alignment horizontal="left" vertical="center" wrapText="1"/>
    </xf>
    <xf numFmtId="0" fontId="62" fillId="10" borderId="0" xfId="0" applyFont="1" applyFill="1" applyBorder="1" applyAlignment="1">
      <alignment horizontal="center" vertical="center" wrapText="1"/>
    </xf>
    <xf numFmtId="0" fontId="63" fillId="6" borderId="0" xfId="0" applyFont="1" applyFill="1" applyBorder="1" applyAlignment="1">
      <alignment horizontal="left" vertical="center" wrapText="1"/>
    </xf>
    <xf numFmtId="0" fontId="65" fillId="5" borderId="0" xfId="0" applyFont="1" applyFill="1" applyBorder="1" applyAlignment="1">
      <alignment horizontal="left" vertical="center" wrapText="1"/>
    </xf>
    <xf numFmtId="0" fontId="60" fillId="8" borderId="5" xfId="0" applyFont="1" applyFill="1" applyBorder="1" applyAlignment="1">
      <alignment horizontal="left" vertical="center" wrapText="1"/>
    </xf>
    <xf numFmtId="0" fontId="57" fillId="8" borderId="5" xfId="0" applyFont="1" applyFill="1" applyBorder="1" applyAlignment="1">
      <alignment horizontal="center" vertical="center" wrapText="1"/>
    </xf>
    <xf numFmtId="0" fontId="61" fillId="8" borderId="5" xfId="0" applyFont="1" applyFill="1" applyBorder="1" applyAlignment="1">
      <alignment horizontal="left" vertical="center" wrapText="1"/>
    </xf>
    <xf numFmtId="0" fontId="55" fillId="3" borderId="0" xfId="0" applyFont="1" applyFill="1" applyBorder="1" applyAlignment="1">
      <alignment horizontal="left" vertical="center" wrapText="1"/>
    </xf>
    <xf numFmtId="0" fontId="56" fillId="8" borderId="5" xfId="0" applyFont="1" applyFill="1" applyBorder="1" applyAlignment="1">
      <alignment horizontal="left" vertical="center" wrapText="1"/>
    </xf>
    <xf numFmtId="0" fontId="58" fillId="8" borderId="5" xfId="0" applyFont="1" applyFill="1" applyBorder="1" applyAlignment="1">
      <alignment horizontal="left" vertical="center" wrapText="1"/>
    </xf>
    <xf numFmtId="0" fontId="59" fillId="8" borderId="5" xfId="0" applyFont="1" applyFill="1" applyBorder="1" applyAlignment="1">
      <alignment horizontal="left" vertical="center" wrapText="1"/>
    </xf>
    <xf numFmtId="0" fontId="54" fillId="3" borderId="0" xfId="0" applyFont="1" applyFill="1" applyBorder="1" applyAlignment="1">
      <alignment horizontal="left" vertical="center" wrapText="1"/>
    </xf>
    <xf numFmtId="0" fontId="26" fillId="3" borderId="0" xfId="0" applyFont="1" applyFill="1" applyBorder="1" applyAlignment="1"/>
    <xf numFmtId="0" fontId="33" fillId="10" borderId="5" xfId="0" applyFont="1" applyFill="1" applyBorder="1" applyAlignment="1">
      <alignment horizontal="center" vertical="center" wrapText="1"/>
    </xf>
    <xf numFmtId="10" fontId="52" fillId="5" borderId="0" xfId="0" applyNumberFormat="1" applyFont="1" applyFill="1" applyBorder="1" applyAlignment="1">
      <alignment horizontal="center" vertical="center" wrapText="1"/>
    </xf>
    <xf numFmtId="0" fontId="52" fillId="5" borderId="0" xfId="0" applyNumberFormat="1" applyFont="1" applyFill="1" applyBorder="1" applyAlignment="1">
      <alignment horizontal="center" vertical="center" wrapText="1"/>
    </xf>
    <xf numFmtId="166" fontId="52" fillId="5" borderId="0" xfId="0" applyNumberFormat="1" applyFont="1" applyFill="1" applyBorder="1" applyAlignment="1">
      <alignment horizontal="center" vertical="center" wrapText="1"/>
    </xf>
    <xf numFmtId="0" fontId="50" fillId="5" borderId="0" xfId="0" applyFont="1" applyFill="1" applyBorder="1" applyAlignment="1">
      <alignment horizontal="center" vertical="center" wrapText="1"/>
    </xf>
    <xf numFmtId="0" fontId="51" fillId="5" borderId="0" xfId="0" applyFont="1" applyFill="1" applyBorder="1" applyAlignment="1">
      <alignment horizontal="center" vertical="center" wrapText="1"/>
    </xf>
    <xf numFmtId="164" fontId="52" fillId="5" borderId="0" xfId="0" applyNumberFormat="1" applyFont="1" applyFill="1" applyBorder="1" applyAlignment="1">
      <alignment horizontal="center" vertical="center" wrapText="1"/>
    </xf>
    <xf numFmtId="166" fontId="53" fillId="5" borderId="0" xfId="0" applyNumberFormat="1" applyFont="1" applyFill="1" applyBorder="1" applyAlignment="1">
      <alignment horizontal="center" vertical="center" wrapText="1"/>
    </xf>
    <xf numFmtId="0" fontId="49" fillId="4" borderId="6" xfId="0" applyFont="1" applyFill="1" applyBorder="1" applyAlignment="1">
      <alignment horizontal="center" vertical="center" wrapText="1"/>
    </xf>
    <xf numFmtId="0" fontId="49" fillId="4" borderId="19" xfId="0" applyFont="1" applyFill="1" applyBorder="1" applyAlignment="1">
      <alignment horizontal="center" vertical="center" wrapText="1"/>
    </xf>
    <xf numFmtId="0" fontId="50" fillId="4" borderId="0" xfId="0" applyFont="1" applyFill="1" applyBorder="1" applyAlignment="1">
      <alignment horizontal="center" vertical="center" wrapText="1"/>
    </xf>
    <xf numFmtId="0" fontId="33" fillId="15" borderId="0" xfId="0" applyFont="1" applyFill="1" applyBorder="1" applyAlignment="1">
      <alignment horizontal="left" vertical="center" wrapText="1"/>
    </xf>
    <xf numFmtId="0" fontId="17" fillId="7" borderId="35" xfId="7" applyFont="1" applyFill="1" applyBorder="1" applyAlignment="1">
      <alignment horizontal="center" vertical="center"/>
    </xf>
    <xf numFmtId="0" fontId="0" fillId="9" borderId="34" xfId="0" applyFill="1" applyBorder="1"/>
  </cellXfs>
  <cellStyles count="8">
    <cellStyle name="Hyperlink" xfId="7" builtinId="8"/>
    <cellStyle name="Normal" xfId="0" builtinId="0"/>
    <cellStyle name="Pivot Table Category" xfId="1"/>
    <cellStyle name="Pivot Table Corner" xfId="2"/>
    <cellStyle name="Pivot Table Field" xfId="3"/>
    <cellStyle name="Pivot Table Result" xfId="4"/>
    <cellStyle name="Pivot Table Title" xfId="5"/>
    <cellStyle name="Pivot Table Value" xfId="6"/>
  </cellStyles>
  <dxfs count="20"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fgColor indexed="64"/>
          <bgColor theme="4" tint="-0.499984740745262"/>
        </patternFill>
      </fill>
    </dxf>
    <dxf>
      <font>
        <color theme="0"/>
      </font>
      <fill>
        <patternFill patternType="solid">
          <fgColor indexed="64"/>
          <bgColor theme="4" tint="-0.499984740745262"/>
        </patternFill>
      </fill>
      <border outline="0">
        <left style="thin">
          <color auto="1"/>
        </left>
      </border>
    </dxf>
    <dxf>
      <font>
        <color theme="0"/>
      </font>
      <numFmt numFmtId="166" formatCode="[$₹-4009]\ #,##0"/>
      <fill>
        <patternFill patternType="solid">
          <fgColor indexed="64"/>
          <bgColor theme="4" tint="-0.499984740745262"/>
        </patternFill>
      </fill>
      <border outline="0">
        <left style="thin">
          <color auto="1"/>
        </left>
      </border>
    </dxf>
    <dxf>
      <font>
        <color theme="0"/>
      </font>
      <numFmt numFmtId="166" formatCode="[$₹-4009]\ #,##0"/>
      <fill>
        <patternFill patternType="solid">
          <fgColor indexed="64"/>
          <bgColor theme="4" tint="-0.499984740745262"/>
        </patternFill>
      </fill>
      <border outline="0">
        <right style="thin">
          <color auto="1"/>
        </right>
      </border>
    </dxf>
    <dxf>
      <font>
        <color theme="0"/>
      </font>
      <fill>
        <patternFill patternType="solid">
          <fgColor indexed="64"/>
          <bgColor theme="4" tint="-0.499984740745262"/>
        </patternFill>
      </fill>
      <border outline="0">
        <left style="thin">
          <color auto="1"/>
        </left>
        <right style="thin">
          <color auto="1"/>
        </right>
      </border>
    </dxf>
    <dxf>
      <font>
        <color theme="0"/>
      </font>
      <numFmt numFmtId="166" formatCode="[$₹-4009]\ #,##0"/>
      <fill>
        <patternFill patternType="solid">
          <fgColor indexed="64"/>
          <bgColor theme="4" tint="-0.499984740745262"/>
        </patternFill>
      </fill>
    </dxf>
    <dxf>
      <font>
        <color theme="0"/>
      </font>
      <fill>
        <patternFill patternType="solid">
          <fgColor indexed="64"/>
          <bgColor theme="4" tint="-0.499984740745262"/>
        </patternFill>
      </fill>
      <border outline="0">
        <left style="thin">
          <color auto="1"/>
        </left>
        <right style="thin">
          <color auto="1"/>
        </right>
      </border>
    </dxf>
    <dxf>
      <font>
        <color theme="0"/>
      </font>
      <numFmt numFmtId="166" formatCode="[$₹-4009]\ #,##0"/>
      <fill>
        <patternFill patternType="solid">
          <fgColor indexed="64"/>
          <bgColor theme="4" tint="-0.499984740745262"/>
        </patternFill>
      </fill>
    </dxf>
    <dxf>
      <font>
        <color theme="0"/>
      </font>
      <fill>
        <patternFill patternType="solid">
          <fgColor indexed="64"/>
          <bgColor theme="4" tint="-0.499984740745262"/>
        </patternFill>
      </fill>
      <border outline="0">
        <right style="thin">
          <color auto="1"/>
        </right>
      </border>
    </dxf>
    <dxf>
      <font>
        <color theme="0"/>
      </font>
      <fill>
        <patternFill patternType="solid">
          <fgColor indexed="64"/>
          <bgColor theme="4" tint="-0.499984740745262"/>
        </patternFill>
      </fill>
    </dxf>
    <dxf>
      <font>
        <color theme="0"/>
      </font>
      <fill>
        <patternFill patternType="solid">
          <fgColor indexed="64"/>
          <bgColor theme="4" tint="-0.499984740745262"/>
        </patternFill>
      </fill>
    </dxf>
    <dxf>
      <font>
        <color theme="0"/>
      </font>
      <fill>
        <patternFill patternType="solid">
          <fgColor indexed="64"/>
          <bgColor theme="4" tint="-0.499984740745262"/>
        </patternFill>
      </fill>
    </dxf>
    <dxf>
      <font>
        <color theme="0"/>
      </font>
      <fill>
        <patternFill patternType="solid">
          <fgColor indexed="64"/>
          <bgColor theme="4" tint="-0.499984740745262"/>
        </patternFill>
      </fill>
    </dxf>
    <dxf>
      <font>
        <color theme="0"/>
      </font>
      <fill>
        <patternFill patternType="solid">
          <fgColor indexed="64"/>
          <bgColor theme="4" tint="-0.499984740745262"/>
        </patternFill>
      </fill>
    </dxf>
    <dxf>
      <font>
        <color theme="0"/>
      </font>
      <fill>
        <patternFill patternType="solid">
          <fgColor indexed="64"/>
          <bgColor theme="4" tint="-0.499984740745262"/>
        </patternFill>
      </fill>
    </dxf>
    <dxf>
      <font>
        <color theme="0"/>
      </font>
      <fill>
        <patternFill patternType="solid">
          <fgColor indexed="64"/>
          <bgColor theme="4" tint="-0.499984740745262"/>
        </patternFill>
      </fill>
    </dxf>
    <dxf>
      <border>
        <bottom style="medium">
          <color theme="1"/>
        </bottom>
      </border>
    </dxf>
    <dxf>
      <font>
        <b/>
        <color theme="0"/>
      </font>
      <fill>
        <patternFill patternType="solid">
          <fgColor indexed="64"/>
          <bgColor rgb="FFC0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8CC168"/>
      <rgbColor rgb="FF0000FF"/>
      <rgbColor rgb="FFFFFF00"/>
      <rgbColor rgb="FFE91E8C"/>
      <rgbColor rgb="FF7CAFDD"/>
      <rgbColor rgb="FF9C0006"/>
      <rgbColor rgb="FF006100"/>
      <rgbColor rgb="FF0A1628"/>
      <rgbColor rgb="FF997300"/>
      <rgbColor rgb="FF7C4DFF"/>
      <rgbColor rgb="FF00897B"/>
      <rgbColor rgb="FFBFBFBF"/>
      <rgbColor rgb="FF8B8B8B"/>
      <rgbColor rgb="FF90A2D3"/>
      <rgbColor rgb="FF7030A0"/>
      <rgbColor rgb="FFFFC7CE"/>
      <rgbColor rgb="FFDEEBF7"/>
      <rgbColor rgb="FFD4AF37"/>
      <rgbColor rgb="FFF1975A"/>
      <rgbColor rgb="FF0070C0"/>
      <rgbColor rgb="FFBBC4E2"/>
      <rgbColor rgb="FFA9D18E"/>
      <rgbColor rgb="FFB7B7B7"/>
      <rgbColor rgb="FFFFCD33"/>
      <rgbColor rgb="FFA1C491"/>
      <rgbColor rgb="FFB3B3B3"/>
      <rgbColor rgb="FFEE0000"/>
      <rgbColor rgb="FF6295D3"/>
      <rgbColor rgb="FFB8C4CE"/>
      <rgbColor rgb="FF00C2D4"/>
      <rgbColor rgb="FFD9D9D9"/>
      <rgbColor rgb="FFC6EFCE"/>
      <rgbColor rgb="FFF0D060"/>
      <rgbColor rgb="FF98B8DF"/>
      <rgbColor rgb="FFF1A78B"/>
      <rgbColor rgb="FFCC99FF"/>
      <rgbColor rgb="FFFFD087"/>
      <rgbColor rgb="FF4472C4"/>
      <rgbColor rgb="FF2ECC71"/>
      <rgbColor rgb="FF92D050"/>
      <rgbColor rgb="FFFFC000"/>
      <rgbColor rgb="FFF39C12"/>
      <rgbColor rgb="FFED7D31"/>
      <rgbColor rgb="FF575E4C"/>
      <rgbColor rgb="FFA5A5A5"/>
      <rgbColor rgb="FF203864"/>
      <rgbColor rgb="FF70AD47"/>
      <rgbColor rgb="FF152232"/>
      <rgbColor rgb="FF0D1B2A"/>
      <rgbColor rgb="FF9E480E"/>
      <rgbColor rgb="FFE74C3C"/>
      <rgbColor rgb="FF255185"/>
      <rgbColor rgb="FF1B2A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31224"/>
      <color rgb="FF042040"/>
      <color rgb="FF00FEE6"/>
      <color rgb="FF0BB092"/>
      <color rgb="FF0000CC"/>
      <color rgb="FF051A33"/>
      <color rgb="FF04152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Analysis'!$B$3</c:f>
              <c:strCache>
                <c:ptCount val="1"/>
                <c:pt idx="0">
                  <c:v>Total Income</c:v>
                </c:pt>
              </c:strCache>
            </c:strRef>
          </c:tx>
          <c:spPr>
            <a:solidFill>
              <a:srgbClr val="222B3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Analysis'!$A$4:$A$15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Analysis'!$B$4:$B$15</c:f>
              <c:numCache>
                <c:formatCode>[$₹-4009]\ #,##0</c:formatCode>
                <c:ptCount val="12"/>
                <c:pt idx="0">
                  <c:v>605000</c:v>
                </c:pt>
                <c:pt idx="1">
                  <c:v>681000</c:v>
                </c:pt>
                <c:pt idx="2">
                  <c:v>570000</c:v>
                </c:pt>
                <c:pt idx="3">
                  <c:v>817000</c:v>
                </c:pt>
                <c:pt idx="4">
                  <c:v>552000</c:v>
                </c:pt>
                <c:pt idx="5">
                  <c:v>639000</c:v>
                </c:pt>
                <c:pt idx="6">
                  <c:v>731000</c:v>
                </c:pt>
                <c:pt idx="7">
                  <c:v>630000</c:v>
                </c:pt>
                <c:pt idx="8">
                  <c:v>661000</c:v>
                </c:pt>
                <c:pt idx="9">
                  <c:v>465000</c:v>
                </c:pt>
                <c:pt idx="10">
                  <c:v>825000</c:v>
                </c:pt>
                <c:pt idx="11">
                  <c:v>695000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35-4865-BEEF-1279F225CDA7}"/>
            </c:ext>
          </c:extLst>
        </c:ser>
        <c:ser>
          <c:idx val="1"/>
          <c:order val="1"/>
          <c:tx>
            <c:strRef>
              <c:f>'Pivot Analysis'!$C$3</c:f>
              <c:strCache>
                <c:ptCount val="1"/>
                <c:pt idx="0">
                  <c:v>Total Expense</c:v>
                </c:pt>
              </c:strCache>
            </c:strRef>
          </c:tx>
          <c:spPr>
            <a:solidFill>
              <a:srgbClr val="0BB09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Analysis'!$A$4:$A$15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Analysis'!$C$4:$C$15</c:f>
              <c:numCache>
                <c:formatCode>[$₹-4009]\ #,##0</c:formatCode>
                <c:ptCount val="12"/>
                <c:pt idx="0">
                  <c:v>112500</c:v>
                </c:pt>
                <c:pt idx="1">
                  <c:v>99100</c:v>
                </c:pt>
                <c:pt idx="2">
                  <c:v>71700</c:v>
                </c:pt>
                <c:pt idx="3">
                  <c:v>81700</c:v>
                </c:pt>
                <c:pt idx="4">
                  <c:v>50100</c:v>
                </c:pt>
                <c:pt idx="5">
                  <c:v>109500</c:v>
                </c:pt>
                <c:pt idx="6">
                  <c:v>103300</c:v>
                </c:pt>
                <c:pt idx="7">
                  <c:v>118900</c:v>
                </c:pt>
                <c:pt idx="8">
                  <c:v>95000</c:v>
                </c:pt>
                <c:pt idx="9">
                  <c:v>67500</c:v>
                </c:pt>
                <c:pt idx="10">
                  <c:v>148300</c:v>
                </c:pt>
                <c:pt idx="11">
                  <c:v>82300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35-4865-BEEF-1279F225CDA7}"/>
            </c:ext>
          </c:extLst>
        </c:ser>
        <c:ser>
          <c:idx val="2"/>
          <c:order val="2"/>
          <c:tx>
            <c:strRef>
              <c:f>'Pivot Analysis'!$D$3</c:f>
              <c:strCache>
                <c:ptCount val="1"/>
                <c:pt idx="0">
                  <c:v>Total Savings</c:v>
                </c:pt>
              </c:strCache>
            </c:strRef>
          </c:tx>
          <c:spPr>
            <a:solidFill>
              <a:srgbClr val="00B0F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Analysis'!$A$4:$A$15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Analysis'!$D$4:$D$15</c:f>
              <c:numCache>
                <c:formatCode>[$₹-4009]\ #,##0</c:formatCode>
                <c:ptCount val="12"/>
                <c:pt idx="0">
                  <c:v>106700</c:v>
                </c:pt>
                <c:pt idx="1">
                  <c:v>148000</c:v>
                </c:pt>
                <c:pt idx="2">
                  <c:v>120200</c:v>
                </c:pt>
                <c:pt idx="3">
                  <c:v>220000</c:v>
                </c:pt>
                <c:pt idx="4">
                  <c:v>90500</c:v>
                </c:pt>
                <c:pt idx="5">
                  <c:v>141500</c:v>
                </c:pt>
                <c:pt idx="6">
                  <c:v>180500</c:v>
                </c:pt>
                <c:pt idx="7">
                  <c:v>145500</c:v>
                </c:pt>
                <c:pt idx="8">
                  <c:v>142000</c:v>
                </c:pt>
                <c:pt idx="9">
                  <c:v>73500</c:v>
                </c:pt>
                <c:pt idx="10">
                  <c:v>211000</c:v>
                </c:pt>
                <c:pt idx="11">
                  <c:v>167500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35-4865-BEEF-1279F225C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33774"/>
        <c:axId val="82792799"/>
      </c:barChart>
      <c:catAx>
        <c:axId val="213377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82792799"/>
        <c:crosses val="autoZero"/>
        <c:auto val="1"/>
        <c:lblAlgn val="ctr"/>
        <c:lblOffset val="100"/>
        <c:noMultiLvlLbl val="0"/>
      </c:catAx>
      <c:valAx>
        <c:axId val="82792799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2133774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Analysis'!$I$3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rgbClr val="20376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Analysis'!$H$4:$H$15</c:f>
              <c:strCache>
                <c:ptCount val="12"/>
                <c:pt idx="0">
                  <c:v>Investment</c:v>
                </c:pt>
                <c:pt idx="1">
                  <c:v>Rent</c:v>
                </c:pt>
                <c:pt idx="2">
                  <c:v>Shopping</c:v>
                </c:pt>
                <c:pt idx="3">
                  <c:v>Travel</c:v>
                </c:pt>
                <c:pt idx="4">
                  <c:v>Unknown</c:v>
                </c:pt>
                <c:pt idx="5">
                  <c:v>Healthcare</c:v>
                </c:pt>
                <c:pt idx="6">
                  <c:v>Utilities</c:v>
                </c:pt>
                <c:pt idx="7">
                  <c:v>Food</c:v>
                </c:pt>
                <c:pt idx="8">
                  <c:v>Groceries</c:v>
                </c:pt>
                <c:pt idx="9">
                  <c:v>Entertainment</c:v>
                </c:pt>
                <c:pt idx="10">
                  <c:v>Education</c:v>
                </c:pt>
                <c:pt idx="11">
                  <c:v>Transport</c:v>
                </c:pt>
              </c:strCache>
            </c:strRef>
          </c:cat>
          <c:val>
            <c:numRef>
              <c:f>'Pivot Analysis'!$I$4:$I$15</c:f>
              <c:numCache>
                <c:formatCode>[$₹-4009]\ #,##0</c:formatCode>
                <c:ptCount val="12"/>
                <c:pt idx="0">
                  <c:v>344000</c:v>
                </c:pt>
                <c:pt idx="1">
                  <c:v>302000</c:v>
                </c:pt>
                <c:pt idx="2">
                  <c:v>78900</c:v>
                </c:pt>
                <c:pt idx="3">
                  <c:v>70200</c:v>
                </c:pt>
                <c:pt idx="4">
                  <c:v>58400</c:v>
                </c:pt>
                <c:pt idx="5">
                  <c:v>56000</c:v>
                </c:pt>
                <c:pt idx="6">
                  <c:v>44800</c:v>
                </c:pt>
                <c:pt idx="7">
                  <c:v>41300</c:v>
                </c:pt>
                <c:pt idx="8">
                  <c:v>38500</c:v>
                </c:pt>
                <c:pt idx="9">
                  <c:v>34000</c:v>
                </c:pt>
                <c:pt idx="10">
                  <c:v>23700</c:v>
                </c:pt>
                <c:pt idx="11">
                  <c:v>23100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0E-453E-B305-388DAF1F4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702620"/>
        <c:axId val="24533881"/>
      </c:barChart>
      <c:catAx>
        <c:axId val="35702620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24533881"/>
        <c:crosses val="autoZero"/>
        <c:auto val="1"/>
        <c:lblAlgn val="ctr"/>
        <c:lblOffset val="100"/>
        <c:noMultiLvlLbl val="0"/>
      </c:catAx>
      <c:valAx>
        <c:axId val="24533881"/>
        <c:scaling>
          <c:orientation val="minMax"/>
        </c:scaling>
        <c:delete val="0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35702620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'Pivot Analysis'!$L$3</c:f>
              <c:strCache>
                <c:ptCount val="1"/>
                <c:pt idx="0">
                  <c:v>Total Income</c:v>
                </c:pt>
              </c:strCache>
            </c:strRef>
          </c:tx>
          <c:spPr>
            <a:solidFill>
              <a:srgbClr val="8EA9DB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20376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4CBC-447E-B5E1-996F62E895B7}"/>
              </c:ext>
            </c:extLst>
          </c:dPt>
          <c:dPt>
            <c:idx val="1"/>
            <c:bubble3D val="0"/>
            <c:spPr>
              <a:solidFill>
                <a:srgbClr val="30549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4CBC-447E-B5E1-996F62E895B7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5-4CBC-447E-B5E1-996F62E895B7}"/>
              </c:ext>
            </c:extLst>
          </c:dPt>
          <c:dPt>
            <c:idx val="3"/>
            <c:bubble3D val="0"/>
            <c:spPr>
              <a:solidFill>
                <a:srgbClr val="8497B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4CBC-447E-B5E1-996F62E895B7}"/>
              </c:ext>
            </c:extLst>
          </c:dPt>
          <c:dPt>
            <c:idx val="4"/>
            <c:bubble3D val="0"/>
            <c:spPr>
              <a:solidFill>
                <a:srgbClr val="ACB9CA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4CBC-447E-B5E1-996F62E895B7}"/>
              </c:ext>
            </c:extLst>
          </c:dPt>
          <c:dPt>
            <c:idx val="5"/>
            <c:bubble3D val="0"/>
            <c:spPr>
              <a:solidFill>
                <a:srgbClr val="000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4CBC-447E-B5E1-996F62E895B7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CBC-447E-B5E1-996F62E895B7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CBC-447E-B5E1-996F62E895B7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CBC-447E-B5E1-996F62E895B7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CBC-447E-B5E1-996F62E895B7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CBC-447E-B5E1-996F62E895B7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CBC-447E-B5E1-996F62E895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'Pivot Analysis'!$K$4:$K$9</c:f>
              <c:strCache>
                <c:ptCount val="6"/>
                <c:pt idx="0">
                  <c:v>Salary</c:v>
                </c:pt>
                <c:pt idx="1">
                  <c:v>Business</c:v>
                </c:pt>
                <c:pt idx="2">
                  <c:v>Freelancing</c:v>
                </c:pt>
                <c:pt idx="3">
                  <c:v>Unknown</c:v>
                </c:pt>
                <c:pt idx="4">
                  <c:v>Internship</c:v>
                </c:pt>
                <c:pt idx="5">
                  <c:v> Salary </c:v>
                </c:pt>
              </c:strCache>
            </c:strRef>
          </c:cat>
          <c:val>
            <c:numRef>
              <c:f>'Pivot Analysis'!$L$4:$L$9</c:f>
              <c:numCache>
                <c:formatCode>[$₹-4009]\ #,##0</c:formatCode>
                <c:ptCount val="6"/>
                <c:pt idx="0">
                  <c:v>3235000</c:v>
                </c:pt>
                <c:pt idx="1">
                  <c:v>2487000</c:v>
                </c:pt>
                <c:pt idx="2">
                  <c:v>992000</c:v>
                </c:pt>
                <c:pt idx="3">
                  <c:v>916000</c:v>
                </c:pt>
                <c:pt idx="4">
                  <c:v>176000</c:v>
                </c:pt>
                <c:pt idx="5">
                  <c:v>65000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CBC-447E-B5E1-996F62E89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18</xdr:row>
      <xdr:rowOff>0</xdr:rowOff>
    </xdr:from>
    <xdr:to>
      <xdr:col>6</xdr:col>
      <xdr:colOff>657225</xdr:colOff>
      <xdr:row>35</xdr:row>
      <xdr:rowOff>104774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18</xdr:row>
      <xdr:rowOff>0</xdr:rowOff>
    </xdr:from>
    <xdr:to>
      <xdr:col>13</xdr:col>
      <xdr:colOff>1285875</xdr:colOff>
      <xdr:row>35</xdr:row>
      <xdr:rowOff>104774</xdr:rowOff>
    </xdr:to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00000000-0008-0000-0A00-000007000000}"/>
            </a:ext>
            <a:ext uri="{147F2762-F138-4A5C-976F-8EAC2B608ADB}">
              <a16:predDERef xmlns:a16="http://schemas.microsoft.com/office/drawing/2014/main" pred="{00000000-0008-0000-0A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35</xdr:row>
      <xdr:rowOff>123825</xdr:rowOff>
    </xdr:from>
    <xdr:to>
      <xdr:col>6</xdr:col>
      <xdr:colOff>657225</xdr:colOff>
      <xdr:row>55</xdr:row>
      <xdr:rowOff>142875</xdr:rowOff>
    </xdr:to>
    <xdr:graphicFrame macro="">
      <xdr:nvGraphicFramePr>
        <xdr:cNvPr id="8" name="Chart 3">
          <a:extLst>
            <a:ext uri="{FF2B5EF4-FFF2-40B4-BE49-F238E27FC236}">
              <a16:creationId xmlns:a16="http://schemas.microsoft.com/office/drawing/2014/main" id="{00000000-0008-0000-0A00-000008000000}"/>
            </a:ext>
            <a:ext uri="{147F2762-F138-4A5C-976F-8EAC2B608ADB}">
              <a16:predDERef xmlns:a16="http://schemas.microsoft.com/office/drawing/2014/main" pred="{00000000-0008-0000-0A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160532</xdr:colOff>
      <xdr:row>1</xdr:row>
      <xdr:rowOff>21404</xdr:rowOff>
    </xdr:from>
    <xdr:to>
      <xdr:col>1</xdr:col>
      <xdr:colOff>706347</xdr:colOff>
      <xdr:row>1</xdr:row>
      <xdr:rowOff>567219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532" y="118268"/>
          <a:ext cx="545815" cy="54581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ransaction_ID_Date_Month_Person_Na3" displayName="Transaction_ID_Date_Month_Person_Na3" ref="A2:O100" totalsRowShown="0" headerRowDxfId="19" dataDxfId="17" headerRowBorderDxfId="18">
  <tableColumns count="15">
    <tableColumn id="1" name="Id" dataDxfId="16"/>
    <tableColumn id="2" name="Date" dataDxfId="15"/>
    <tableColumn id="3" name="Month" dataDxfId="14"/>
    <tableColumn id="4" name="Person Name" dataDxfId="13"/>
    <tableColumn id="5" name="Age" dataDxfId="12"/>
    <tableColumn id="6" name="City" dataDxfId="11"/>
    <tableColumn id="7" name="Income Source" dataDxfId="10"/>
    <tableColumn id="8" name="Monthly Income" dataDxfId="9"/>
    <tableColumn id="9" name="ExpenseCategory" dataDxfId="8"/>
    <tableColumn id="10" name="Expense Amount" dataDxfId="7"/>
    <tableColumn id="11" name="Payment Method" dataDxfId="6"/>
    <tableColumn id="12" name="Savings" dataDxfId="5"/>
    <tableColumn id="13" name="Loan EMI" dataDxfId="4"/>
    <tableColumn id="14" name="Credit Score" dataDxfId="3"/>
    <tableColumn id="15" name="Financial Status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1"/>
  <sheetViews>
    <sheetView zoomScale="86" zoomScaleNormal="86" workbookViewId="0"/>
  </sheetViews>
  <sheetFormatPr defaultRowHeight="15" x14ac:dyDescent="0.25"/>
  <cols>
    <col min="2" max="2" width="5.28515625" customWidth="1"/>
    <col min="15" max="15" width="13.7109375" customWidth="1"/>
    <col min="16" max="16" width="14.85546875" customWidth="1"/>
    <col min="17" max="17" width="2.5703125" customWidth="1"/>
    <col min="18" max="18" width="2.42578125" customWidth="1"/>
    <col min="19" max="19" width="6.85546875" customWidth="1"/>
    <col min="20" max="20" width="7.28515625" customWidth="1"/>
    <col min="21" max="21" width="6.28515625" customWidth="1"/>
    <col min="22" max="22" width="15.28515625" customWidth="1"/>
  </cols>
  <sheetData>
    <row r="1" spans="1:25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5"/>
      <c r="X1" s="25"/>
      <c r="Y1" s="25"/>
    </row>
    <row r="2" spans="1:25" x14ac:dyDescent="0.25">
      <c r="A2" s="24"/>
      <c r="B2" s="24"/>
      <c r="C2" s="128" t="s">
        <v>0</v>
      </c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20"/>
      <c r="V2" s="21"/>
      <c r="W2" s="25"/>
      <c r="X2" s="25"/>
      <c r="Y2" s="25"/>
    </row>
    <row r="3" spans="1:25" x14ac:dyDescent="0.25">
      <c r="A3" s="24"/>
      <c r="B3" s="24"/>
      <c r="C3" s="130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24"/>
      <c r="V3" s="26"/>
      <c r="W3" s="25"/>
      <c r="X3" s="25"/>
      <c r="Y3" s="25"/>
    </row>
    <row r="4" spans="1:25" x14ac:dyDescent="0.25">
      <c r="A4" s="24"/>
      <c r="B4" s="24"/>
      <c r="C4" s="130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24"/>
      <c r="V4" s="26"/>
      <c r="W4" s="25"/>
      <c r="X4" s="25"/>
      <c r="Y4" s="25"/>
    </row>
    <row r="5" spans="1:25" x14ac:dyDescent="0.25">
      <c r="A5" s="24"/>
      <c r="B5" s="24"/>
      <c r="C5" s="132" t="s">
        <v>1</v>
      </c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24"/>
      <c r="V5" s="26"/>
      <c r="W5" s="25"/>
      <c r="X5" s="25"/>
      <c r="Y5" s="25"/>
    </row>
    <row r="6" spans="1:25" x14ac:dyDescent="0.25">
      <c r="A6" s="24"/>
      <c r="B6" s="24"/>
      <c r="C6" s="134"/>
      <c r="D6" s="135"/>
      <c r="E6" s="135"/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5"/>
      <c r="R6" s="135"/>
      <c r="S6" s="135"/>
      <c r="T6" s="135"/>
      <c r="U6" s="22"/>
      <c r="V6" s="23"/>
      <c r="W6" s="25"/>
      <c r="X6" s="25"/>
      <c r="Y6" s="25"/>
    </row>
    <row r="7" spans="1:25" x14ac:dyDescent="0.2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5"/>
      <c r="X7" s="25"/>
      <c r="Y7" s="25"/>
    </row>
    <row r="8" spans="1:25" x14ac:dyDescent="0.25">
      <c r="A8" s="24"/>
      <c r="B8" s="24"/>
      <c r="C8" s="27"/>
      <c r="D8" s="20"/>
      <c r="E8" s="20"/>
      <c r="F8" s="20"/>
      <c r="G8" s="21"/>
      <c r="H8" s="24"/>
      <c r="I8" s="27"/>
      <c r="J8" s="20"/>
      <c r="K8" s="20"/>
      <c r="L8" s="20"/>
      <c r="M8" s="20"/>
      <c r="N8" s="20"/>
      <c r="O8" s="20"/>
      <c r="P8" s="20"/>
      <c r="Q8" s="21"/>
      <c r="R8" s="24"/>
      <c r="S8" s="27"/>
      <c r="T8" s="20"/>
      <c r="U8" s="20"/>
      <c r="V8" s="21"/>
      <c r="W8" s="25"/>
      <c r="X8" s="25"/>
      <c r="Y8" s="25"/>
    </row>
    <row r="9" spans="1:25" ht="15.75" x14ac:dyDescent="0.25">
      <c r="A9" s="24"/>
      <c r="B9" s="24"/>
      <c r="C9" s="139" t="s">
        <v>2</v>
      </c>
      <c r="D9" s="140"/>
      <c r="E9" s="140"/>
      <c r="F9" s="140"/>
      <c r="G9" s="141"/>
      <c r="H9" s="25"/>
      <c r="I9" s="28"/>
      <c r="J9" s="116" t="s">
        <v>3</v>
      </c>
      <c r="K9" s="117"/>
      <c r="L9" s="118"/>
      <c r="M9" s="119" t="s">
        <v>4</v>
      </c>
      <c r="N9" s="120"/>
      <c r="O9" s="120"/>
      <c r="P9" s="121"/>
      <c r="Q9" s="41"/>
      <c r="R9" s="42"/>
      <c r="S9" s="125" t="s">
        <v>356</v>
      </c>
      <c r="T9" s="126"/>
      <c r="U9" s="126"/>
      <c r="V9" s="127"/>
      <c r="W9" s="25"/>
      <c r="X9" s="25"/>
      <c r="Y9" s="25"/>
    </row>
    <row r="10" spans="1:25" ht="15.75" x14ac:dyDescent="0.25">
      <c r="A10" s="24"/>
      <c r="B10" s="24"/>
      <c r="C10" s="139"/>
      <c r="D10" s="140"/>
      <c r="E10" s="140"/>
      <c r="F10" s="140"/>
      <c r="G10" s="141"/>
      <c r="H10" s="25"/>
      <c r="I10" s="28"/>
      <c r="J10" s="107"/>
      <c r="K10" s="108"/>
      <c r="L10" s="108"/>
      <c r="M10" s="108"/>
      <c r="N10" s="108"/>
      <c r="O10" s="108"/>
      <c r="P10" s="109"/>
      <c r="Q10" s="41"/>
      <c r="R10" s="42"/>
      <c r="S10" s="125"/>
      <c r="T10" s="126"/>
      <c r="U10" s="126"/>
      <c r="V10" s="127"/>
      <c r="W10" s="25"/>
      <c r="X10" s="25"/>
      <c r="Y10" s="25"/>
    </row>
    <row r="11" spans="1:25" ht="15.75" x14ac:dyDescent="0.25">
      <c r="A11" s="24"/>
      <c r="B11" s="24"/>
      <c r="C11" s="139"/>
      <c r="D11" s="140"/>
      <c r="E11" s="140"/>
      <c r="F11" s="140"/>
      <c r="G11" s="141"/>
      <c r="H11" s="25"/>
      <c r="I11" s="28"/>
      <c r="J11" s="116" t="s">
        <v>5</v>
      </c>
      <c r="K11" s="117"/>
      <c r="L11" s="118"/>
      <c r="M11" s="119" t="s">
        <v>6</v>
      </c>
      <c r="N11" s="120"/>
      <c r="O11" s="120"/>
      <c r="P11" s="121"/>
      <c r="Q11" s="41"/>
      <c r="R11" s="42"/>
      <c r="S11" s="125"/>
      <c r="T11" s="126"/>
      <c r="U11" s="126"/>
      <c r="V11" s="127"/>
      <c r="W11" s="25"/>
      <c r="X11" s="25"/>
      <c r="Y11" s="25"/>
    </row>
    <row r="12" spans="1:25" ht="15.75" x14ac:dyDescent="0.25">
      <c r="A12" s="24"/>
      <c r="B12" s="24"/>
      <c r="C12" s="139"/>
      <c r="D12" s="140"/>
      <c r="E12" s="140"/>
      <c r="F12" s="140"/>
      <c r="G12" s="141"/>
      <c r="H12" s="25"/>
      <c r="I12" s="28"/>
      <c r="J12" s="107"/>
      <c r="K12" s="108"/>
      <c r="L12" s="108"/>
      <c r="M12" s="108"/>
      <c r="N12" s="108"/>
      <c r="O12" s="108"/>
      <c r="P12" s="109"/>
      <c r="Q12" s="41"/>
      <c r="R12" s="42"/>
      <c r="S12" s="125"/>
      <c r="T12" s="126"/>
      <c r="U12" s="126"/>
      <c r="V12" s="127"/>
      <c r="W12" s="25"/>
      <c r="X12" s="25"/>
      <c r="Y12" s="25"/>
    </row>
    <row r="13" spans="1:25" ht="15.75" x14ac:dyDescent="0.25">
      <c r="A13" s="24"/>
      <c r="B13" s="24"/>
      <c r="C13" s="142" t="s">
        <v>7</v>
      </c>
      <c r="D13" s="143"/>
      <c r="E13" s="143"/>
      <c r="F13" s="143"/>
      <c r="G13" s="144"/>
      <c r="H13" s="25"/>
      <c r="I13" s="28"/>
      <c r="J13" s="116" t="s">
        <v>8</v>
      </c>
      <c r="K13" s="117"/>
      <c r="L13" s="118"/>
      <c r="M13" s="119" t="s">
        <v>9</v>
      </c>
      <c r="N13" s="120"/>
      <c r="O13" s="120"/>
      <c r="P13" s="121"/>
      <c r="Q13" s="41"/>
      <c r="R13" s="42"/>
      <c r="S13" s="125"/>
      <c r="T13" s="126"/>
      <c r="U13" s="126"/>
      <c r="V13" s="127"/>
      <c r="W13" s="25"/>
      <c r="X13" s="25"/>
      <c r="Y13" s="25"/>
    </row>
    <row r="14" spans="1:25" ht="15.75" x14ac:dyDescent="0.25">
      <c r="A14" s="24"/>
      <c r="B14" s="24"/>
      <c r="C14" s="142"/>
      <c r="D14" s="143"/>
      <c r="E14" s="143"/>
      <c r="F14" s="143"/>
      <c r="G14" s="144"/>
      <c r="H14" s="25"/>
      <c r="I14" s="28"/>
      <c r="J14" s="107"/>
      <c r="K14" s="108"/>
      <c r="L14" s="108"/>
      <c r="M14" s="108"/>
      <c r="N14" s="108"/>
      <c r="O14" s="108"/>
      <c r="P14" s="109"/>
      <c r="Q14" s="41"/>
      <c r="R14" s="42"/>
      <c r="S14" s="125"/>
      <c r="T14" s="126"/>
      <c r="U14" s="126"/>
      <c r="V14" s="127"/>
      <c r="W14" s="25"/>
      <c r="X14" s="25"/>
      <c r="Y14" s="25"/>
    </row>
    <row r="15" spans="1:25" ht="16.5" x14ac:dyDescent="0.25">
      <c r="A15" s="24"/>
      <c r="B15" s="24"/>
      <c r="C15" s="30"/>
      <c r="D15" s="31"/>
      <c r="E15" s="31"/>
      <c r="F15" s="31"/>
      <c r="G15" s="32"/>
      <c r="H15" s="24"/>
      <c r="I15" s="28"/>
      <c r="J15" s="145" t="s">
        <v>10</v>
      </c>
      <c r="K15" s="146"/>
      <c r="L15" s="147"/>
      <c r="M15" s="104" t="s">
        <v>11</v>
      </c>
      <c r="N15" s="105"/>
      <c r="O15" s="105"/>
      <c r="P15" s="106"/>
      <c r="Q15" s="43"/>
      <c r="R15" s="44"/>
      <c r="S15" s="125"/>
      <c r="T15" s="126"/>
      <c r="U15" s="126"/>
      <c r="V15" s="127"/>
      <c r="W15" s="25"/>
      <c r="X15" s="25"/>
      <c r="Y15" s="25"/>
    </row>
    <row r="16" spans="1:25" ht="15.75" x14ac:dyDescent="0.25">
      <c r="A16" s="24"/>
      <c r="B16" s="24"/>
      <c r="C16" s="30"/>
      <c r="D16" s="31"/>
      <c r="E16" s="31"/>
      <c r="F16" s="31"/>
      <c r="G16" s="32"/>
      <c r="H16" s="24"/>
      <c r="I16" s="28"/>
      <c r="J16" s="107"/>
      <c r="K16" s="108"/>
      <c r="L16" s="108"/>
      <c r="M16" s="108"/>
      <c r="N16" s="108"/>
      <c r="O16" s="108"/>
      <c r="P16" s="109"/>
      <c r="Q16" s="41"/>
      <c r="R16" s="42"/>
      <c r="S16" s="125"/>
      <c r="T16" s="126"/>
      <c r="U16" s="126"/>
      <c r="V16" s="127"/>
      <c r="W16" s="25"/>
      <c r="X16" s="25"/>
      <c r="Y16" s="25"/>
    </row>
    <row r="17" spans="1:25" ht="15.75" x14ac:dyDescent="0.25">
      <c r="A17" s="24"/>
      <c r="B17" s="24"/>
      <c r="C17" s="30"/>
      <c r="D17" s="31"/>
      <c r="E17" s="31"/>
      <c r="F17" s="31"/>
      <c r="G17" s="32"/>
      <c r="H17" s="24"/>
      <c r="I17" s="28"/>
      <c r="J17" s="116" t="s">
        <v>12</v>
      </c>
      <c r="K17" s="117"/>
      <c r="L17" s="118"/>
      <c r="M17" s="136">
        <v>2026</v>
      </c>
      <c r="N17" s="137"/>
      <c r="O17" s="137"/>
      <c r="P17" s="138"/>
      <c r="Q17" s="41"/>
      <c r="R17" s="42"/>
      <c r="S17" s="125"/>
      <c r="T17" s="126"/>
      <c r="U17" s="126"/>
      <c r="V17" s="127"/>
      <c r="W17" s="25"/>
      <c r="X17" s="25"/>
      <c r="Y17" s="25"/>
    </row>
    <row r="18" spans="1:25" ht="15.75" x14ac:dyDescent="0.25">
      <c r="A18" s="24"/>
      <c r="B18" s="24"/>
      <c r="C18" s="28"/>
      <c r="D18" s="24"/>
      <c r="E18" s="24"/>
      <c r="F18" s="24"/>
      <c r="G18" s="26"/>
      <c r="H18" s="24"/>
      <c r="I18" s="28"/>
      <c r="J18" s="107"/>
      <c r="K18" s="108"/>
      <c r="L18" s="108"/>
      <c r="M18" s="108"/>
      <c r="N18" s="108"/>
      <c r="O18" s="108"/>
      <c r="P18" s="109"/>
      <c r="Q18" s="41"/>
      <c r="R18" s="42"/>
      <c r="S18" s="125"/>
      <c r="T18" s="126"/>
      <c r="U18" s="126"/>
      <c r="V18" s="127"/>
      <c r="W18" s="25"/>
      <c r="X18" s="25"/>
      <c r="Y18" s="25"/>
    </row>
    <row r="19" spans="1:25" ht="15.75" x14ac:dyDescent="0.25">
      <c r="A19" s="24"/>
      <c r="B19" s="24"/>
      <c r="C19" s="28"/>
      <c r="D19" s="24"/>
      <c r="E19" s="24"/>
      <c r="F19" s="24"/>
      <c r="G19" s="26"/>
      <c r="H19" s="24"/>
      <c r="I19" s="28"/>
      <c r="J19" s="116" t="s">
        <v>13</v>
      </c>
      <c r="K19" s="117"/>
      <c r="L19" s="118"/>
      <c r="M19" s="119" t="s">
        <v>14</v>
      </c>
      <c r="N19" s="120"/>
      <c r="O19" s="120"/>
      <c r="P19" s="121"/>
      <c r="Q19" s="41"/>
      <c r="R19" s="42"/>
      <c r="S19" s="45"/>
      <c r="T19" s="42"/>
      <c r="U19" s="42"/>
      <c r="V19" s="41"/>
      <c r="W19" s="25"/>
      <c r="X19" s="25"/>
      <c r="Y19" s="25"/>
    </row>
    <row r="20" spans="1:25" x14ac:dyDescent="0.25">
      <c r="A20" s="24"/>
      <c r="B20" s="24"/>
      <c r="C20" s="29"/>
      <c r="D20" s="22"/>
      <c r="E20" s="22"/>
      <c r="F20" s="22"/>
      <c r="G20" s="23"/>
      <c r="H20" s="24"/>
      <c r="I20" s="29"/>
      <c r="J20" s="22"/>
      <c r="K20" s="22"/>
      <c r="L20" s="22"/>
      <c r="M20" s="22"/>
      <c r="N20" s="22"/>
      <c r="O20" s="22"/>
      <c r="P20" s="22"/>
      <c r="Q20" s="23"/>
      <c r="R20" s="24"/>
      <c r="S20" s="29"/>
      <c r="T20" s="22"/>
      <c r="U20" s="22"/>
      <c r="V20" s="23"/>
      <c r="W20" s="25"/>
      <c r="X20" s="25"/>
      <c r="Y20" s="25"/>
    </row>
    <row r="21" spans="1:25" x14ac:dyDescent="0.25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5"/>
      <c r="X21" s="25"/>
      <c r="Y21" s="25"/>
    </row>
    <row r="22" spans="1:25" x14ac:dyDescent="0.25">
      <c r="A22" s="24"/>
      <c r="B22" s="24"/>
      <c r="C22" s="122" t="s">
        <v>15</v>
      </c>
      <c r="D22" s="122"/>
      <c r="E22" s="122"/>
      <c r="F22" s="123" t="s">
        <v>16</v>
      </c>
      <c r="G22" s="123"/>
      <c r="H22" s="123"/>
      <c r="I22" s="123"/>
      <c r="J22" s="124" t="s">
        <v>17</v>
      </c>
      <c r="K22" s="124"/>
      <c r="L22" s="124"/>
      <c r="M22" s="123" t="s">
        <v>18</v>
      </c>
      <c r="N22" s="123"/>
      <c r="O22" s="123"/>
      <c r="P22" s="122" t="s">
        <v>19</v>
      </c>
      <c r="Q22" s="122"/>
      <c r="R22" s="122"/>
      <c r="S22" s="122"/>
      <c r="T22" s="122"/>
      <c r="U22" s="122"/>
      <c r="V22" s="122"/>
      <c r="W22" s="25"/>
      <c r="X22" s="25"/>
      <c r="Y22" s="25"/>
    </row>
    <row r="23" spans="1:25" x14ac:dyDescent="0.25">
      <c r="A23" s="24"/>
      <c r="B23" s="24"/>
      <c r="C23" s="122"/>
      <c r="D23" s="122"/>
      <c r="E23" s="122"/>
      <c r="F23" s="123"/>
      <c r="G23" s="123"/>
      <c r="H23" s="123"/>
      <c r="I23" s="123"/>
      <c r="J23" s="124"/>
      <c r="K23" s="124"/>
      <c r="L23" s="124"/>
      <c r="M23" s="123"/>
      <c r="N23" s="123"/>
      <c r="O23" s="123"/>
      <c r="P23" s="122"/>
      <c r="Q23" s="122"/>
      <c r="R23" s="122"/>
      <c r="S23" s="122"/>
      <c r="T23" s="122"/>
      <c r="U23" s="122"/>
      <c r="V23" s="122"/>
      <c r="W23" s="25"/>
      <c r="X23" s="25"/>
      <c r="Y23" s="25"/>
    </row>
    <row r="24" spans="1:25" x14ac:dyDescent="0.25">
      <c r="A24" s="24"/>
      <c r="B24" s="24"/>
      <c r="C24" s="122"/>
      <c r="D24" s="122"/>
      <c r="E24" s="122"/>
      <c r="F24" s="123"/>
      <c r="G24" s="123"/>
      <c r="H24" s="123"/>
      <c r="I24" s="123"/>
      <c r="J24" s="124"/>
      <c r="K24" s="124"/>
      <c r="L24" s="124"/>
      <c r="M24" s="123"/>
      <c r="N24" s="123"/>
      <c r="O24" s="123"/>
      <c r="P24" s="122"/>
      <c r="Q24" s="122"/>
      <c r="R24" s="122"/>
      <c r="S24" s="122"/>
      <c r="T24" s="122"/>
      <c r="U24" s="122"/>
      <c r="V24" s="122"/>
      <c r="W24" s="25"/>
      <c r="X24" s="25"/>
      <c r="Y24" s="25"/>
    </row>
    <row r="25" spans="1:25" x14ac:dyDescent="0.25">
      <c r="A25" s="24"/>
      <c r="B25" s="24"/>
      <c r="C25" s="122"/>
      <c r="D25" s="122"/>
      <c r="E25" s="122"/>
      <c r="F25" s="123"/>
      <c r="G25" s="123"/>
      <c r="H25" s="123"/>
      <c r="I25" s="123"/>
      <c r="J25" s="124"/>
      <c r="K25" s="124"/>
      <c r="L25" s="124"/>
      <c r="M25" s="123"/>
      <c r="N25" s="123"/>
      <c r="O25" s="123"/>
      <c r="P25" s="122"/>
      <c r="Q25" s="122"/>
      <c r="R25" s="122"/>
      <c r="S25" s="122"/>
      <c r="T25" s="122"/>
      <c r="U25" s="122"/>
      <c r="V25" s="122"/>
      <c r="W25" s="25"/>
      <c r="X25" s="25"/>
      <c r="Y25" s="25"/>
    </row>
    <row r="26" spans="1:25" ht="15.75" thickBot="1" x14ac:dyDescent="0.3">
      <c r="A26" s="24"/>
      <c r="B26" s="24"/>
      <c r="C26" s="122"/>
      <c r="D26" s="122"/>
      <c r="E26" s="122"/>
      <c r="F26" s="123"/>
      <c r="G26" s="123"/>
      <c r="H26" s="123"/>
      <c r="I26" s="123"/>
      <c r="J26" s="124"/>
      <c r="K26" s="124"/>
      <c r="L26" s="124"/>
      <c r="M26" s="123"/>
      <c r="N26" s="123"/>
      <c r="O26" s="123"/>
      <c r="P26" s="122"/>
      <c r="Q26" s="122"/>
      <c r="R26" s="122"/>
      <c r="S26" s="122"/>
      <c r="T26" s="122"/>
      <c r="U26" s="122"/>
      <c r="V26" s="122"/>
      <c r="W26" s="25"/>
      <c r="X26" s="25"/>
      <c r="Y26" s="25"/>
    </row>
    <row r="27" spans="1:25" ht="15" customHeight="1" x14ac:dyDescent="0.25">
      <c r="A27" s="24"/>
      <c r="B27" s="24"/>
      <c r="C27" s="110" t="s">
        <v>20</v>
      </c>
      <c r="D27" s="111"/>
      <c r="E27" s="111"/>
      <c r="F27" s="111"/>
      <c r="G27" s="111"/>
      <c r="H27" s="111"/>
      <c r="I27" s="111"/>
      <c r="J27" s="111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2"/>
      <c r="W27" s="25"/>
      <c r="X27" s="25"/>
      <c r="Y27" s="25"/>
    </row>
    <row r="28" spans="1:25" ht="15" customHeight="1" x14ac:dyDescent="0.25">
      <c r="A28" s="24"/>
      <c r="B28" s="24"/>
      <c r="C28" s="113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  <c r="Q28" s="114"/>
      <c r="R28" s="114"/>
      <c r="S28" s="114"/>
      <c r="T28" s="114"/>
      <c r="U28" s="114"/>
      <c r="V28" s="115"/>
      <c r="W28" s="25"/>
      <c r="X28" s="25"/>
      <c r="Y28" s="25"/>
    </row>
    <row r="29" spans="1:25" x14ac:dyDescent="0.25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5"/>
      <c r="X29" s="25"/>
      <c r="Y29" s="25"/>
    </row>
    <row r="30" spans="1:25" x14ac:dyDescent="0.25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5"/>
      <c r="X30" s="25"/>
      <c r="Y30" s="25"/>
    </row>
    <row r="31" spans="1:25" x14ac:dyDescent="0.25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5"/>
      <c r="X31" s="25"/>
      <c r="Y31" s="25"/>
    </row>
  </sheetData>
  <mergeCells count="28">
    <mergeCell ref="C2:T4"/>
    <mergeCell ref="C5:T6"/>
    <mergeCell ref="J17:L17"/>
    <mergeCell ref="M17:P17"/>
    <mergeCell ref="C9:G12"/>
    <mergeCell ref="J9:L9"/>
    <mergeCell ref="M9:P9"/>
    <mergeCell ref="J10:P10"/>
    <mergeCell ref="J11:L11"/>
    <mergeCell ref="M11:P11"/>
    <mergeCell ref="J12:P12"/>
    <mergeCell ref="C13:G14"/>
    <mergeCell ref="J13:L13"/>
    <mergeCell ref="M13:P13"/>
    <mergeCell ref="J14:P14"/>
    <mergeCell ref="J15:L15"/>
    <mergeCell ref="M15:P15"/>
    <mergeCell ref="J16:P16"/>
    <mergeCell ref="C27:V28"/>
    <mergeCell ref="J18:P18"/>
    <mergeCell ref="J19:L19"/>
    <mergeCell ref="M19:P19"/>
    <mergeCell ref="C22:E26"/>
    <mergeCell ref="F22:I26"/>
    <mergeCell ref="J22:L26"/>
    <mergeCell ref="M22:O26"/>
    <mergeCell ref="P22:V26"/>
    <mergeCell ref="S9:V18"/>
  </mergeCells>
  <hyperlinks>
    <hyperlink ref="C22:E26" location="'Final Dashboard'!A1" display="START DASHBOARD"/>
    <hyperlink ref="F22:I26" location="'Raw Data'!A1" display="VIEW RAW DATA"/>
    <hyperlink ref="J22:L26" location="'Income Analysis'!A1" display="INCOME ANALYSIS"/>
    <hyperlink ref="M22:O26" location="'Expense Analysis'!A1" display="EXPENSE ANALYSIS"/>
    <hyperlink ref="P22:V26" location="'Pivot Analysis'!A1" display="PIVOT ANALYSIS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O100"/>
  <sheetViews>
    <sheetView zoomScale="98" zoomScaleNormal="98" workbookViewId="0">
      <selection activeCell="P14" sqref="P14"/>
    </sheetView>
  </sheetViews>
  <sheetFormatPr defaultColWidth="8.7109375" defaultRowHeight="15" x14ac:dyDescent="0.25"/>
  <cols>
    <col min="1" max="1" width="9.28515625" style="1" customWidth="1"/>
    <col min="2" max="2" width="13" style="1" customWidth="1"/>
    <col min="3" max="3" width="10" style="1" customWidth="1"/>
    <col min="4" max="4" width="15.140625" style="1" customWidth="1"/>
    <col min="5" max="5" width="5.85546875" style="1" customWidth="1"/>
    <col min="6" max="6" width="10.140625" customWidth="1"/>
    <col min="7" max="7" width="15.7109375" style="1" customWidth="1"/>
    <col min="8" max="8" width="17.28515625" style="1" customWidth="1"/>
    <col min="9" max="9" width="19.140625" style="1" customWidth="1"/>
    <col min="10" max="10" width="18" style="1" customWidth="1"/>
    <col min="11" max="11" width="17.85546875" style="1" customWidth="1"/>
    <col min="12" max="12" width="11" bestFit="1" customWidth="1"/>
    <col min="13" max="13" width="11.28515625" style="1" customWidth="1"/>
    <col min="14" max="14" width="13.5703125" style="1" customWidth="1"/>
    <col min="15" max="15" width="16.5703125" style="1" customWidth="1"/>
  </cols>
  <sheetData>
    <row r="1" spans="1:15" ht="25.5" customHeight="1" x14ac:dyDescent="0.35">
      <c r="A1" s="148" t="s">
        <v>21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46" t="s">
        <v>22</v>
      </c>
    </row>
    <row r="2" spans="1:15" ht="15" customHeight="1" x14ac:dyDescent="0.25">
      <c r="A2" s="10" t="s">
        <v>23</v>
      </c>
      <c r="B2" s="11" t="s">
        <v>24</v>
      </c>
      <c r="C2" s="11" t="s">
        <v>25</v>
      </c>
      <c r="D2" s="11" t="s">
        <v>26</v>
      </c>
      <c r="E2" s="11" t="s">
        <v>27</v>
      </c>
      <c r="F2" s="11" t="s">
        <v>28</v>
      </c>
      <c r="G2" s="11" t="s">
        <v>29</v>
      </c>
      <c r="H2" s="11" t="s">
        <v>30</v>
      </c>
      <c r="I2" s="11" t="s">
        <v>31</v>
      </c>
      <c r="J2" s="11" t="s">
        <v>32</v>
      </c>
      <c r="K2" s="11" t="s">
        <v>33</v>
      </c>
      <c r="L2" s="11" t="s">
        <v>34</v>
      </c>
      <c r="M2" s="11" t="s">
        <v>35</v>
      </c>
      <c r="N2" s="11" t="s">
        <v>36</v>
      </c>
      <c r="O2" s="37" t="s">
        <v>37</v>
      </c>
    </row>
    <row r="3" spans="1:15" ht="15" customHeight="1" x14ac:dyDescent="0.25">
      <c r="A3" s="12" t="s">
        <v>38</v>
      </c>
      <c r="B3" s="13">
        <v>45659</v>
      </c>
      <c r="C3" s="12" t="s">
        <v>39</v>
      </c>
      <c r="D3" s="12" t="s">
        <v>40</v>
      </c>
      <c r="E3" s="12">
        <v>29</v>
      </c>
      <c r="F3" s="12" t="s">
        <v>41</v>
      </c>
      <c r="G3" s="12" t="s">
        <v>42</v>
      </c>
      <c r="H3" s="47">
        <v>65000</v>
      </c>
      <c r="I3" s="12" t="s">
        <v>43</v>
      </c>
      <c r="J3" s="47">
        <v>18000</v>
      </c>
      <c r="K3" s="12" t="s">
        <v>44</v>
      </c>
      <c r="L3" s="47">
        <v>12000</v>
      </c>
      <c r="M3" s="47">
        <v>5000</v>
      </c>
      <c r="N3" s="12">
        <v>742</v>
      </c>
      <c r="O3" s="12" t="s">
        <v>45</v>
      </c>
    </row>
    <row r="4" spans="1:15" ht="15" customHeight="1" x14ac:dyDescent="0.25">
      <c r="A4" s="8" t="s">
        <v>46</v>
      </c>
      <c r="B4" s="9">
        <v>45660</v>
      </c>
      <c r="C4" s="8" t="s">
        <v>47</v>
      </c>
      <c r="D4" s="8" t="s">
        <v>48</v>
      </c>
      <c r="E4" s="8">
        <v>34</v>
      </c>
      <c r="F4" s="8" t="s">
        <v>49</v>
      </c>
      <c r="G4" s="8" t="s">
        <v>50</v>
      </c>
      <c r="H4" s="48">
        <v>72000</v>
      </c>
      <c r="I4" s="8" t="s">
        <v>51</v>
      </c>
      <c r="J4" s="48">
        <v>6500</v>
      </c>
      <c r="K4" s="8" t="s">
        <v>52</v>
      </c>
      <c r="L4" s="48">
        <v>15000</v>
      </c>
      <c r="M4" s="48"/>
      <c r="N4" s="8">
        <v>788</v>
      </c>
      <c r="O4" s="8" t="s">
        <v>53</v>
      </c>
    </row>
    <row r="5" spans="1:15" ht="15" customHeight="1" x14ac:dyDescent="0.25">
      <c r="A5" s="8" t="s">
        <v>54</v>
      </c>
      <c r="B5" s="9">
        <v>45661</v>
      </c>
      <c r="C5" s="8" t="s">
        <v>55</v>
      </c>
      <c r="D5" s="8" t="s">
        <v>56</v>
      </c>
      <c r="E5" s="8">
        <v>26</v>
      </c>
      <c r="F5" s="8"/>
      <c r="G5" s="8" t="s">
        <v>42</v>
      </c>
      <c r="H5" s="48">
        <v>54000</v>
      </c>
      <c r="I5" s="8"/>
      <c r="J5" s="48">
        <v>3200</v>
      </c>
      <c r="K5" s="8" t="s">
        <v>57</v>
      </c>
      <c r="L5" s="48">
        <v>8000</v>
      </c>
      <c r="M5" s="48">
        <v>2500</v>
      </c>
      <c r="N5" s="8">
        <v>689</v>
      </c>
      <c r="O5" s="8" t="s">
        <v>58</v>
      </c>
    </row>
    <row r="6" spans="1:15" ht="15" customHeight="1" x14ac:dyDescent="0.25">
      <c r="A6" s="8" t="s">
        <v>59</v>
      </c>
      <c r="B6" s="9">
        <v>45662</v>
      </c>
      <c r="C6" s="8" t="s">
        <v>60</v>
      </c>
      <c r="D6" s="8" t="s">
        <v>61</v>
      </c>
      <c r="E6" s="8">
        <v>31</v>
      </c>
      <c r="F6" s="8" t="s">
        <v>62</v>
      </c>
      <c r="G6" s="8" t="s">
        <v>63</v>
      </c>
      <c r="H6" s="48">
        <v>98000</v>
      </c>
      <c r="I6" s="8" t="s">
        <v>64</v>
      </c>
      <c r="J6" s="48">
        <v>5400</v>
      </c>
      <c r="K6" s="8" t="s">
        <v>65</v>
      </c>
      <c r="L6" s="48">
        <v>25000</v>
      </c>
      <c r="M6" s="48">
        <v>8000</v>
      </c>
      <c r="N6" s="8">
        <v>801</v>
      </c>
      <c r="O6" s="8" t="s">
        <v>66</v>
      </c>
    </row>
    <row r="7" spans="1:15" ht="15" customHeight="1" x14ac:dyDescent="0.25">
      <c r="A7" s="8" t="s">
        <v>67</v>
      </c>
      <c r="B7" s="9">
        <v>45663</v>
      </c>
      <c r="C7" s="8" t="s">
        <v>68</v>
      </c>
      <c r="D7" s="8" t="s">
        <v>69</v>
      </c>
      <c r="E7" s="8">
        <v>38</v>
      </c>
      <c r="F7" s="8" t="s">
        <v>70</v>
      </c>
      <c r="G7" s="8" t="s">
        <v>42</v>
      </c>
      <c r="H7" s="48">
        <v>85000</v>
      </c>
      <c r="I7" s="8" t="s">
        <v>71</v>
      </c>
      <c r="J7" s="48">
        <v>7600</v>
      </c>
      <c r="K7" s="8" t="s">
        <v>52</v>
      </c>
      <c r="L7" s="48">
        <v>10000</v>
      </c>
      <c r="M7" s="48">
        <v>12000</v>
      </c>
      <c r="N7" s="8">
        <v>655</v>
      </c>
      <c r="O7" s="8" t="s">
        <v>72</v>
      </c>
    </row>
    <row r="8" spans="1:15" ht="15" customHeight="1" x14ac:dyDescent="0.25">
      <c r="A8" s="8" t="s">
        <v>73</v>
      </c>
      <c r="B8" s="9">
        <v>45664</v>
      </c>
      <c r="C8" s="8" t="s">
        <v>74</v>
      </c>
      <c r="D8" s="8" t="s">
        <v>75</v>
      </c>
      <c r="E8" s="8">
        <v>27</v>
      </c>
      <c r="F8" s="8" t="s">
        <v>76</v>
      </c>
      <c r="G8" s="8"/>
      <c r="H8" s="48">
        <v>61000</v>
      </c>
      <c r="I8" s="8" t="s">
        <v>77</v>
      </c>
      <c r="J8" s="48">
        <v>2400</v>
      </c>
      <c r="K8" s="8" t="s">
        <v>44</v>
      </c>
      <c r="L8" s="48">
        <v>17000</v>
      </c>
      <c r="M8" s="48"/>
      <c r="N8" s="8">
        <v>771</v>
      </c>
      <c r="O8" s="8" t="s">
        <v>53</v>
      </c>
    </row>
    <row r="9" spans="1:15" ht="15" customHeight="1" x14ac:dyDescent="0.25">
      <c r="A9" s="8" t="s">
        <v>78</v>
      </c>
      <c r="B9" s="9">
        <v>45665</v>
      </c>
      <c r="C9" s="8" t="s">
        <v>79</v>
      </c>
      <c r="D9" s="8" t="s">
        <v>80</v>
      </c>
      <c r="E9" s="8">
        <v>42</v>
      </c>
      <c r="F9" s="8" t="s">
        <v>81</v>
      </c>
      <c r="G9" s="8" t="s">
        <v>63</v>
      </c>
      <c r="H9" s="48">
        <v>120000</v>
      </c>
      <c r="I9" s="8" t="s">
        <v>43</v>
      </c>
      <c r="J9" s="48">
        <v>25000</v>
      </c>
      <c r="K9" s="8" t="s">
        <v>82</v>
      </c>
      <c r="L9" s="48">
        <v>35000</v>
      </c>
      <c r="M9" s="48">
        <v>18000</v>
      </c>
      <c r="N9" s="8">
        <v>720</v>
      </c>
      <c r="O9" s="8" t="s">
        <v>45</v>
      </c>
    </row>
    <row r="10" spans="1:15" ht="15" customHeight="1" x14ac:dyDescent="0.25">
      <c r="A10" s="8" t="s">
        <v>83</v>
      </c>
      <c r="B10" s="9">
        <v>45666</v>
      </c>
      <c r="C10" s="8" t="s">
        <v>84</v>
      </c>
      <c r="D10" s="8" t="s">
        <v>85</v>
      </c>
      <c r="E10" s="8">
        <v>24</v>
      </c>
      <c r="F10" s="8" t="s">
        <v>41</v>
      </c>
      <c r="G10" s="8" t="s">
        <v>86</v>
      </c>
      <c r="H10" s="48">
        <v>28000</v>
      </c>
      <c r="I10" s="8" t="s">
        <v>87</v>
      </c>
      <c r="J10" s="48">
        <v>4500</v>
      </c>
      <c r="K10" s="8" t="s">
        <v>44</v>
      </c>
      <c r="L10" s="48">
        <v>5000</v>
      </c>
      <c r="M10" s="48"/>
      <c r="N10" s="8">
        <v>690</v>
      </c>
      <c r="O10" s="8" t="s">
        <v>58</v>
      </c>
    </row>
    <row r="11" spans="1:15" ht="15" customHeight="1" x14ac:dyDescent="0.25">
      <c r="A11" s="8" t="s">
        <v>88</v>
      </c>
      <c r="B11" s="9">
        <v>45667</v>
      </c>
      <c r="C11" s="8" t="s">
        <v>89</v>
      </c>
      <c r="D11" s="8" t="s">
        <v>90</v>
      </c>
      <c r="E11" s="8">
        <v>36</v>
      </c>
      <c r="F11" s="8" t="s">
        <v>91</v>
      </c>
      <c r="G11" s="8" t="s">
        <v>42</v>
      </c>
      <c r="H11" s="48">
        <v>76000</v>
      </c>
      <c r="I11" s="8"/>
      <c r="J11" s="48">
        <v>8200</v>
      </c>
      <c r="K11" s="8" t="s">
        <v>52</v>
      </c>
      <c r="L11" s="48">
        <v>14000</v>
      </c>
      <c r="M11" s="48">
        <v>7000</v>
      </c>
      <c r="N11" s="8">
        <v>745</v>
      </c>
      <c r="O11" s="8" t="s">
        <v>45</v>
      </c>
    </row>
    <row r="12" spans="1:15" ht="15" customHeight="1" x14ac:dyDescent="0.25">
      <c r="A12" s="8" t="s">
        <v>92</v>
      </c>
      <c r="B12" s="9">
        <v>45668</v>
      </c>
      <c r="C12" s="8" t="s">
        <v>93</v>
      </c>
      <c r="D12" s="8" t="s">
        <v>94</v>
      </c>
      <c r="E12" s="8">
        <v>30</v>
      </c>
      <c r="F12" s="8" t="s">
        <v>95</v>
      </c>
      <c r="G12" s="8" t="s">
        <v>50</v>
      </c>
      <c r="H12" s="48">
        <v>68000</v>
      </c>
      <c r="I12" s="8" t="s">
        <v>96</v>
      </c>
      <c r="J12" s="48">
        <v>9200</v>
      </c>
      <c r="K12" s="8" t="s">
        <v>44</v>
      </c>
      <c r="L12" s="48">
        <v>11000</v>
      </c>
      <c r="M12" s="48">
        <v>3000</v>
      </c>
      <c r="N12" s="8">
        <v>732</v>
      </c>
      <c r="O12" s="8" t="s">
        <v>53</v>
      </c>
    </row>
    <row r="13" spans="1:15" ht="15" customHeight="1" x14ac:dyDescent="0.25">
      <c r="A13" s="8" t="s">
        <v>97</v>
      </c>
      <c r="B13" s="9">
        <v>45669</v>
      </c>
      <c r="C13" s="8" t="s">
        <v>98</v>
      </c>
      <c r="D13" s="8" t="s">
        <v>99</v>
      </c>
      <c r="E13" s="8">
        <v>45</v>
      </c>
      <c r="F13" s="8" t="s">
        <v>41</v>
      </c>
      <c r="G13" s="8" t="s">
        <v>63</v>
      </c>
      <c r="H13" s="48">
        <v>150000</v>
      </c>
      <c r="I13" s="8" t="s">
        <v>100</v>
      </c>
      <c r="J13" s="48">
        <v>35000</v>
      </c>
      <c r="K13" s="8" t="s">
        <v>65</v>
      </c>
      <c r="L13" s="48">
        <v>40000</v>
      </c>
      <c r="M13" s="48">
        <v>20000</v>
      </c>
      <c r="N13" s="8">
        <v>810</v>
      </c>
      <c r="O13" s="8" t="s">
        <v>66</v>
      </c>
    </row>
    <row r="14" spans="1:15" ht="15" customHeight="1" x14ac:dyDescent="0.25">
      <c r="A14" s="8" t="s">
        <v>101</v>
      </c>
      <c r="B14" s="9">
        <v>45670</v>
      </c>
      <c r="C14" s="8" t="s">
        <v>102</v>
      </c>
      <c r="D14" s="8" t="s">
        <v>103</v>
      </c>
      <c r="E14" s="8">
        <v>28</v>
      </c>
      <c r="F14" s="8" t="s">
        <v>104</v>
      </c>
      <c r="G14" s="8"/>
      <c r="H14" s="48">
        <v>59000</v>
      </c>
      <c r="I14" s="8" t="s">
        <v>105</v>
      </c>
      <c r="J14" s="48">
        <v>5800</v>
      </c>
      <c r="K14" s="8"/>
      <c r="L14" s="48">
        <v>9000</v>
      </c>
      <c r="M14" s="48">
        <v>2500</v>
      </c>
      <c r="N14" s="8">
        <v>704</v>
      </c>
      <c r="O14" s="8" t="s">
        <v>45</v>
      </c>
    </row>
    <row r="15" spans="1:15" ht="15" customHeight="1" x14ac:dyDescent="0.25">
      <c r="A15" s="8" t="s">
        <v>106</v>
      </c>
      <c r="B15" s="9">
        <v>45671</v>
      </c>
      <c r="C15" s="8" t="s">
        <v>39</v>
      </c>
      <c r="D15" s="8" t="s">
        <v>107</v>
      </c>
      <c r="E15" s="8">
        <v>33</v>
      </c>
      <c r="F15" s="8"/>
      <c r="G15" s="8" t="s">
        <v>42</v>
      </c>
      <c r="H15" s="48">
        <v>71000</v>
      </c>
      <c r="I15" s="8" t="s">
        <v>43</v>
      </c>
      <c r="J15" s="48">
        <v>21000</v>
      </c>
      <c r="K15" s="8" t="s">
        <v>44</v>
      </c>
      <c r="L15" s="48">
        <v>13000</v>
      </c>
      <c r="M15" s="48">
        <v>6000</v>
      </c>
      <c r="N15" s="8">
        <v>740</v>
      </c>
      <c r="O15" s="8" t="s">
        <v>53</v>
      </c>
    </row>
    <row r="16" spans="1:15" ht="15" customHeight="1" x14ac:dyDescent="0.25">
      <c r="A16" s="8" t="s">
        <v>108</v>
      </c>
      <c r="B16" s="9">
        <v>45672</v>
      </c>
      <c r="C16" s="8" t="s">
        <v>47</v>
      </c>
      <c r="D16" s="8" t="s">
        <v>109</v>
      </c>
      <c r="E16" s="8">
        <v>25</v>
      </c>
      <c r="F16" s="8" t="s">
        <v>76</v>
      </c>
      <c r="G16" s="8" t="s">
        <v>50</v>
      </c>
      <c r="H16" s="48">
        <v>47000</v>
      </c>
      <c r="I16" s="8" t="s">
        <v>71</v>
      </c>
      <c r="J16" s="48">
        <v>4200</v>
      </c>
      <c r="K16" s="8" t="s">
        <v>52</v>
      </c>
      <c r="L16" s="48">
        <v>7000</v>
      </c>
      <c r="M16" s="48"/>
      <c r="N16" s="8">
        <v>681</v>
      </c>
      <c r="O16" s="8" t="s">
        <v>58</v>
      </c>
    </row>
    <row r="17" spans="1:15" ht="15" customHeight="1" x14ac:dyDescent="0.25">
      <c r="A17" s="8" t="s">
        <v>110</v>
      </c>
      <c r="B17" s="9">
        <v>45673</v>
      </c>
      <c r="C17" s="8" t="s">
        <v>55</v>
      </c>
      <c r="D17" s="8" t="s">
        <v>111</v>
      </c>
      <c r="E17" s="8">
        <v>39</v>
      </c>
      <c r="F17" s="8" t="s">
        <v>62</v>
      </c>
      <c r="G17" s="8" t="s">
        <v>63</v>
      </c>
      <c r="H17" s="48">
        <v>132000</v>
      </c>
      <c r="I17" s="8" t="s">
        <v>77</v>
      </c>
      <c r="J17" s="48">
        <v>6800</v>
      </c>
      <c r="K17" s="8" t="s">
        <v>65</v>
      </c>
      <c r="L17" s="48">
        <v>30000</v>
      </c>
      <c r="M17" s="48">
        <v>15000</v>
      </c>
      <c r="N17" s="8">
        <v>790</v>
      </c>
      <c r="O17" s="8" t="s">
        <v>66</v>
      </c>
    </row>
    <row r="18" spans="1:15" ht="15" customHeight="1" x14ac:dyDescent="0.25">
      <c r="A18" s="8" t="s">
        <v>112</v>
      </c>
      <c r="B18" s="9">
        <v>45674</v>
      </c>
      <c r="C18" s="8" t="s">
        <v>60</v>
      </c>
      <c r="D18" s="8" t="s">
        <v>113</v>
      </c>
      <c r="E18" s="8">
        <v>29</v>
      </c>
      <c r="F18" s="8" t="s">
        <v>104</v>
      </c>
      <c r="G18" s="8" t="s">
        <v>42</v>
      </c>
      <c r="H18" s="48">
        <v>62000</v>
      </c>
      <c r="I18" s="8" t="s">
        <v>51</v>
      </c>
      <c r="J18" s="48">
        <v>5900</v>
      </c>
      <c r="K18" s="8" t="s">
        <v>44</v>
      </c>
      <c r="L18" s="48">
        <v>12000</v>
      </c>
      <c r="M18" s="48">
        <v>3000</v>
      </c>
      <c r="N18" s="8">
        <v>725</v>
      </c>
      <c r="O18" s="8" t="s">
        <v>53</v>
      </c>
    </row>
    <row r="19" spans="1:15" ht="15" customHeight="1" x14ac:dyDescent="0.25">
      <c r="A19" s="8" t="s">
        <v>114</v>
      </c>
      <c r="B19" s="9">
        <v>45675</v>
      </c>
      <c r="C19" s="8" t="s">
        <v>68</v>
      </c>
      <c r="D19" s="8" t="s">
        <v>115</v>
      </c>
      <c r="E19" s="8">
        <v>35</v>
      </c>
      <c r="F19" s="8" t="s">
        <v>49</v>
      </c>
      <c r="G19" s="8" t="s">
        <v>42</v>
      </c>
      <c r="H19" s="48">
        <v>81000</v>
      </c>
      <c r="I19" s="8" t="s">
        <v>116</v>
      </c>
      <c r="J19" s="48">
        <v>4100</v>
      </c>
      <c r="K19" s="8" t="s">
        <v>57</v>
      </c>
      <c r="L19" s="48">
        <v>16000</v>
      </c>
      <c r="M19" s="48">
        <v>9000</v>
      </c>
      <c r="N19" s="8">
        <v>710</v>
      </c>
      <c r="O19" s="8" t="s">
        <v>45</v>
      </c>
    </row>
    <row r="20" spans="1:15" ht="15" customHeight="1" x14ac:dyDescent="0.25">
      <c r="A20" s="8" t="s">
        <v>117</v>
      </c>
      <c r="B20" s="9">
        <v>45676</v>
      </c>
      <c r="C20" s="8" t="s">
        <v>74</v>
      </c>
      <c r="D20" s="8" t="s">
        <v>118</v>
      </c>
      <c r="E20" s="8">
        <v>27</v>
      </c>
      <c r="F20" s="8" t="s">
        <v>119</v>
      </c>
      <c r="G20" s="8" t="s">
        <v>50</v>
      </c>
      <c r="H20" s="48">
        <v>56000</v>
      </c>
      <c r="I20" s="8"/>
      <c r="J20" s="48">
        <v>9700</v>
      </c>
      <c r="K20" s="8" t="s">
        <v>52</v>
      </c>
      <c r="L20" s="48">
        <v>8500</v>
      </c>
      <c r="M20" s="48"/>
      <c r="N20" s="8">
        <v>699</v>
      </c>
      <c r="O20" s="8" t="s">
        <v>58</v>
      </c>
    </row>
    <row r="21" spans="1:15" ht="15" customHeight="1" x14ac:dyDescent="0.25">
      <c r="A21" s="8" t="s">
        <v>120</v>
      </c>
      <c r="B21" s="9">
        <v>45677</v>
      </c>
      <c r="C21" s="8" t="s">
        <v>79</v>
      </c>
      <c r="D21" s="8" t="s">
        <v>121</v>
      </c>
      <c r="E21" s="8">
        <v>41</v>
      </c>
      <c r="F21" s="8" t="s">
        <v>104</v>
      </c>
      <c r="G21" s="8" t="s">
        <v>63</v>
      </c>
      <c r="H21" s="48">
        <v>145000</v>
      </c>
      <c r="I21" s="8" t="s">
        <v>64</v>
      </c>
      <c r="J21" s="48">
        <v>7800</v>
      </c>
      <c r="K21" s="8" t="s">
        <v>82</v>
      </c>
      <c r="L21" s="48">
        <v>42000</v>
      </c>
      <c r="M21" s="48">
        <v>25000</v>
      </c>
      <c r="N21" s="8">
        <v>805</v>
      </c>
      <c r="O21" s="8" t="s">
        <v>66</v>
      </c>
    </row>
    <row r="22" spans="1:15" ht="15" customHeight="1" x14ac:dyDescent="0.25">
      <c r="A22" s="8" t="s">
        <v>122</v>
      </c>
      <c r="B22" s="9">
        <v>45678</v>
      </c>
      <c r="C22" s="8" t="s">
        <v>84</v>
      </c>
      <c r="D22" s="8" t="s">
        <v>123</v>
      </c>
      <c r="E22" s="8">
        <v>32</v>
      </c>
      <c r="F22" s="8" t="s">
        <v>124</v>
      </c>
      <c r="G22" s="8" t="s">
        <v>42</v>
      </c>
      <c r="H22" s="48">
        <v>69000</v>
      </c>
      <c r="I22" s="8" t="s">
        <v>105</v>
      </c>
      <c r="J22" s="48">
        <v>6300</v>
      </c>
      <c r="K22" s="8" t="s">
        <v>44</v>
      </c>
      <c r="L22" s="48">
        <v>10000</v>
      </c>
      <c r="M22" s="48">
        <v>4500</v>
      </c>
      <c r="N22" s="8">
        <v>730</v>
      </c>
      <c r="O22" s="8" t="s">
        <v>53</v>
      </c>
    </row>
    <row r="23" spans="1:15" ht="15" customHeight="1" x14ac:dyDescent="0.25">
      <c r="A23" s="8" t="s">
        <v>125</v>
      </c>
      <c r="B23" s="9">
        <v>45679</v>
      </c>
      <c r="C23" s="8" t="s">
        <v>89</v>
      </c>
      <c r="D23" s="8" t="s">
        <v>126</v>
      </c>
      <c r="E23" s="8">
        <v>37</v>
      </c>
      <c r="F23" s="8" t="s">
        <v>127</v>
      </c>
      <c r="G23" s="8" t="s">
        <v>42</v>
      </c>
      <c r="H23" s="48">
        <v>57000</v>
      </c>
      <c r="I23" s="8" t="s">
        <v>43</v>
      </c>
      <c r="J23" s="48">
        <v>16000</v>
      </c>
      <c r="K23" s="8" t="s">
        <v>57</v>
      </c>
      <c r="L23" s="48">
        <v>6000</v>
      </c>
      <c r="M23" s="48">
        <v>5500</v>
      </c>
      <c r="N23" s="8">
        <v>670</v>
      </c>
      <c r="O23" s="8" t="s">
        <v>72</v>
      </c>
    </row>
    <row r="24" spans="1:15" ht="15" customHeight="1" x14ac:dyDescent="0.25">
      <c r="A24" s="8" t="s">
        <v>128</v>
      </c>
      <c r="B24" s="9">
        <v>45680</v>
      </c>
      <c r="C24" s="8" t="s">
        <v>93</v>
      </c>
      <c r="D24" s="8" t="s">
        <v>129</v>
      </c>
      <c r="E24" s="8">
        <v>26</v>
      </c>
      <c r="F24" s="8" t="s">
        <v>130</v>
      </c>
      <c r="G24" s="8" t="s">
        <v>50</v>
      </c>
      <c r="H24" s="48">
        <v>52000</v>
      </c>
      <c r="I24" s="8" t="s">
        <v>96</v>
      </c>
      <c r="J24" s="48">
        <v>7600</v>
      </c>
      <c r="K24" s="8" t="s">
        <v>52</v>
      </c>
      <c r="L24" s="48">
        <v>9000</v>
      </c>
      <c r="M24" s="48"/>
      <c r="N24" s="8">
        <v>715</v>
      </c>
      <c r="O24" s="8" t="s">
        <v>45</v>
      </c>
    </row>
    <row r="25" spans="1:15" ht="15" customHeight="1" x14ac:dyDescent="0.25">
      <c r="A25" s="8" t="s">
        <v>131</v>
      </c>
      <c r="B25" s="9">
        <v>45681</v>
      </c>
      <c r="C25" s="8" t="s">
        <v>98</v>
      </c>
      <c r="D25" s="8" t="s">
        <v>132</v>
      </c>
      <c r="E25" s="8">
        <v>40</v>
      </c>
      <c r="F25" s="8"/>
      <c r="G25" s="8"/>
      <c r="H25" s="48">
        <v>125000</v>
      </c>
      <c r="I25" s="8" t="s">
        <v>100</v>
      </c>
      <c r="J25" s="48">
        <v>28000</v>
      </c>
      <c r="K25" s="8" t="s">
        <v>65</v>
      </c>
      <c r="L25" s="48">
        <v>37000</v>
      </c>
      <c r="M25" s="48">
        <v>12000</v>
      </c>
      <c r="N25" s="8">
        <v>798</v>
      </c>
      <c r="O25" s="8" t="s">
        <v>66</v>
      </c>
    </row>
    <row r="26" spans="1:15" ht="15" customHeight="1" x14ac:dyDescent="0.25">
      <c r="A26" s="8" t="s">
        <v>133</v>
      </c>
      <c r="B26" s="9">
        <v>45682</v>
      </c>
      <c r="C26" s="8" t="s">
        <v>102</v>
      </c>
      <c r="D26" s="8" t="s">
        <v>134</v>
      </c>
      <c r="E26" s="8">
        <v>31</v>
      </c>
      <c r="F26" s="8" t="s">
        <v>41</v>
      </c>
      <c r="G26" s="8" t="s">
        <v>42</v>
      </c>
      <c r="H26" s="48">
        <v>74000</v>
      </c>
      <c r="I26" s="8" t="s">
        <v>87</v>
      </c>
      <c r="J26" s="48">
        <v>5300</v>
      </c>
      <c r="K26" s="8" t="s">
        <v>44</v>
      </c>
      <c r="L26" s="48">
        <v>15000</v>
      </c>
      <c r="M26" s="48">
        <v>5000</v>
      </c>
      <c r="N26" s="8">
        <v>750</v>
      </c>
      <c r="O26" s="8" t="s">
        <v>53</v>
      </c>
    </row>
    <row r="27" spans="1:15" ht="15" customHeight="1" x14ac:dyDescent="0.25">
      <c r="A27" s="8" t="s">
        <v>135</v>
      </c>
      <c r="B27" s="9">
        <v>45683</v>
      </c>
      <c r="C27" s="8" t="s">
        <v>39</v>
      </c>
      <c r="D27" s="8" t="s">
        <v>136</v>
      </c>
      <c r="E27" s="8">
        <v>28</v>
      </c>
      <c r="F27" s="8" t="s">
        <v>104</v>
      </c>
      <c r="G27" s="8" t="s">
        <v>42</v>
      </c>
      <c r="H27" s="48">
        <v>63000</v>
      </c>
      <c r="I27" s="8"/>
      <c r="J27" s="48">
        <v>8600</v>
      </c>
      <c r="K27" s="8" t="s">
        <v>52</v>
      </c>
      <c r="L27" s="48">
        <v>11000</v>
      </c>
      <c r="M27" s="48">
        <v>3500</v>
      </c>
      <c r="N27" s="8">
        <v>721</v>
      </c>
      <c r="O27" s="8" t="s">
        <v>45</v>
      </c>
    </row>
    <row r="28" spans="1:15" ht="15" customHeight="1" x14ac:dyDescent="0.25">
      <c r="A28" s="8" t="s">
        <v>137</v>
      </c>
      <c r="B28" s="9">
        <v>45733</v>
      </c>
      <c r="C28" s="8" t="s">
        <v>47</v>
      </c>
      <c r="D28" s="8" t="s">
        <v>138</v>
      </c>
      <c r="E28" s="8">
        <v>36</v>
      </c>
      <c r="F28" s="8" t="s">
        <v>41</v>
      </c>
      <c r="G28" s="8" t="s">
        <v>42</v>
      </c>
      <c r="H28" s="48">
        <v>81000</v>
      </c>
      <c r="I28" s="8" t="s">
        <v>139</v>
      </c>
      <c r="J28" s="48">
        <v>9400</v>
      </c>
      <c r="K28" s="8" t="s">
        <v>44</v>
      </c>
      <c r="L28" s="48">
        <v>17000</v>
      </c>
      <c r="M28" s="48">
        <v>8500</v>
      </c>
      <c r="N28" s="8">
        <v>743</v>
      </c>
      <c r="O28" s="8" t="s">
        <v>53</v>
      </c>
    </row>
    <row r="29" spans="1:15" ht="15" customHeight="1" x14ac:dyDescent="0.25">
      <c r="A29" s="8" t="s">
        <v>140</v>
      </c>
      <c r="B29" s="9">
        <v>45734</v>
      </c>
      <c r="C29" s="8" t="s">
        <v>55</v>
      </c>
      <c r="D29" s="8" t="s">
        <v>141</v>
      </c>
      <c r="E29" s="8">
        <v>27</v>
      </c>
      <c r="F29" s="8" t="s">
        <v>76</v>
      </c>
      <c r="G29" s="8" t="s">
        <v>50</v>
      </c>
      <c r="H29" s="48">
        <v>55000</v>
      </c>
      <c r="I29" s="8" t="s">
        <v>105</v>
      </c>
      <c r="J29" s="48">
        <v>5200</v>
      </c>
      <c r="K29" s="8" t="s">
        <v>52</v>
      </c>
      <c r="L29" s="48">
        <v>8000</v>
      </c>
      <c r="M29" s="48"/>
      <c r="N29" s="8">
        <v>701</v>
      </c>
      <c r="O29" s="8" t="s">
        <v>45</v>
      </c>
    </row>
    <row r="30" spans="1:15" ht="15" customHeight="1" x14ac:dyDescent="0.25">
      <c r="A30" s="8" t="s">
        <v>142</v>
      </c>
      <c r="B30" s="9">
        <v>45735</v>
      </c>
      <c r="C30" s="8" t="s">
        <v>60</v>
      </c>
      <c r="D30" s="8" t="s">
        <v>143</v>
      </c>
      <c r="E30" s="8">
        <v>43</v>
      </c>
      <c r="F30" s="8" t="s">
        <v>104</v>
      </c>
      <c r="G30" s="8" t="s">
        <v>63</v>
      </c>
      <c r="H30" s="48">
        <v>149000</v>
      </c>
      <c r="I30" s="8" t="s">
        <v>100</v>
      </c>
      <c r="J30" s="48">
        <v>41000</v>
      </c>
      <c r="K30" s="8" t="s">
        <v>82</v>
      </c>
      <c r="L30" s="48">
        <v>50000</v>
      </c>
      <c r="M30" s="48">
        <v>23000</v>
      </c>
      <c r="N30" s="8">
        <v>815</v>
      </c>
      <c r="O30" s="8" t="s">
        <v>66</v>
      </c>
    </row>
    <row r="31" spans="1:15" ht="15" customHeight="1" x14ac:dyDescent="0.25">
      <c r="A31" s="8" t="s">
        <v>144</v>
      </c>
      <c r="B31" s="9">
        <v>45736</v>
      </c>
      <c r="C31" s="8" t="s">
        <v>68</v>
      </c>
      <c r="D31" s="8" t="s">
        <v>145</v>
      </c>
      <c r="E31" s="8">
        <v>30</v>
      </c>
      <c r="F31" s="8" t="s">
        <v>41</v>
      </c>
      <c r="G31" s="8" t="s">
        <v>42</v>
      </c>
      <c r="H31" s="48">
        <v>72000</v>
      </c>
      <c r="I31" s="8" t="s">
        <v>64</v>
      </c>
      <c r="J31" s="48">
        <v>6300</v>
      </c>
      <c r="K31" s="8" t="s">
        <v>44</v>
      </c>
      <c r="L31" s="48">
        <v>14500</v>
      </c>
      <c r="M31" s="48">
        <v>3500</v>
      </c>
      <c r="N31" s="8">
        <v>735</v>
      </c>
      <c r="O31" s="8" t="s">
        <v>53</v>
      </c>
    </row>
    <row r="32" spans="1:15" ht="15" customHeight="1" x14ac:dyDescent="0.25">
      <c r="A32" s="8" t="s">
        <v>146</v>
      </c>
      <c r="B32" s="9">
        <v>45737</v>
      </c>
      <c r="C32" s="8" t="s">
        <v>74</v>
      </c>
      <c r="D32" s="8" t="s">
        <v>147</v>
      </c>
      <c r="E32" s="8">
        <v>28</v>
      </c>
      <c r="F32" s="8" t="s">
        <v>104</v>
      </c>
      <c r="G32" s="8" t="s">
        <v>42</v>
      </c>
      <c r="H32" s="48">
        <v>65000</v>
      </c>
      <c r="I32" s="8" t="s">
        <v>116</v>
      </c>
      <c r="J32" s="48">
        <v>4800</v>
      </c>
      <c r="K32" s="8" t="s">
        <v>57</v>
      </c>
      <c r="L32" s="48">
        <v>10000</v>
      </c>
      <c r="M32" s="48">
        <v>4000</v>
      </c>
      <c r="N32" s="8">
        <v>712</v>
      </c>
      <c r="O32" s="8" t="s">
        <v>45</v>
      </c>
    </row>
    <row r="33" spans="1:15" ht="15" customHeight="1" x14ac:dyDescent="0.25">
      <c r="A33" s="8" t="s">
        <v>148</v>
      </c>
      <c r="B33" s="9">
        <v>45738</v>
      </c>
      <c r="C33" s="8" t="s">
        <v>79</v>
      </c>
      <c r="D33" s="8" t="s">
        <v>149</v>
      </c>
      <c r="E33" s="8">
        <v>25</v>
      </c>
      <c r="F33" s="8" t="s">
        <v>41</v>
      </c>
      <c r="G33" s="8" t="s">
        <v>50</v>
      </c>
      <c r="H33" s="48">
        <v>50000</v>
      </c>
      <c r="I33" s="8" t="s">
        <v>96</v>
      </c>
      <c r="J33" s="48">
        <v>8100</v>
      </c>
      <c r="K33" s="8" t="s">
        <v>52</v>
      </c>
      <c r="L33" s="48">
        <v>6000</v>
      </c>
      <c r="M33" s="48"/>
      <c r="N33" s="8">
        <v>689</v>
      </c>
      <c r="O33" s="8" t="s">
        <v>58</v>
      </c>
    </row>
    <row r="34" spans="1:15" ht="15" customHeight="1" x14ac:dyDescent="0.25">
      <c r="A34" s="8" t="s">
        <v>150</v>
      </c>
      <c r="B34" s="9">
        <v>45739</v>
      </c>
      <c r="C34" s="8" t="s">
        <v>84</v>
      </c>
      <c r="D34" s="8" t="s">
        <v>151</v>
      </c>
      <c r="E34" s="8">
        <v>40</v>
      </c>
      <c r="F34" s="8" t="s">
        <v>49</v>
      </c>
      <c r="G34" s="8"/>
      <c r="H34" s="48">
        <v>137000</v>
      </c>
      <c r="I34" s="8" t="s">
        <v>43</v>
      </c>
      <c r="J34" s="48">
        <v>33000</v>
      </c>
      <c r="K34" s="8"/>
      <c r="L34" s="48">
        <v>41000</v>
      </c>
      <c r="M34" s="48">
        <v>17000</v>
      </c>
      <c r="N34" s="8">
        <v>799</v>
      </c>
      <c r="O34" s="8" t="s">
        <v>66</v>
      </c>
    </row>
    <row r="35" spans="1:15" ht="15" customHeight="1" x14ac:dyDescent="0.25">
      <c r="A35" s="8" t="s">
        <v>152</v>
      </c>
      <c r="B35" s="9">
        <v>45740</v>
      </c>
      <c r="C35" s="8" t="s">
        <v>89</v>
      </c>
      <c r="D35" s="8" t="s">
        <v>153</v>
      </c>
      <c r="E35" s="8">
        <v>31</v>
      </c>
      <c r="F35" s="8" t="s">
        <v>41</v>
      </c>
      <c r="G35" s="8" t="s">
        <v>42</v>
      </c>
      <c r="H35" s="48">
        <v>70000</v>
      </c>
      <c r="I35" s="8" t="s">
        <v>77</v>
      </c>
      <c r="J35" s="48">
        <v>4600</v>
      </c>
      <c r="K35" s="8" t="s">
        <v>44</v>
      </c>
      <c r="L35" s="48">
        <v>13000</v>
      </c>
      <c r="M35" s="48">
        <v>3000</v>
      </c>
      <c r="N35" s="8">
        <v>732</v>
      </c>
      <c r="O35" s="8" t="s">
        <v>53</v>
      </c>
    </row>
    <row r="36" spans="1:15" ht="15" customHeight="1" x14ac:dyDescent="0.25">
      <c r="A36" s="8" t="s">
        <v>154</v>
      </c>
      <c r="B36" s="9">
        <v>45741</v>
      </c>
      <c r="C36" s="8" t="s">
        <v>93</v>
      </c>
      <c r="D36" s="8" t="s">
        <v>155</v>
      </c>
      <c r="E36" s="8">
        <v>35</v>
      </c>
      <c r="F36" s="8" t="s">
        <v>104</v>
      </c>
      <c r="G36" s="8" t="s">
        <v>42</v>
      </c>
      <c r="H36" s="48">
        <v>83000</v>
      </c>
      <c r="I36" s="8" t="s">
        <v>139</v>
      </c>
      <c r="J36" s="48">
        <v>10200</v>
      </c>
      <c r="K36" s="8" t="s">
        <v>52</v>
      </c>
      <c r="L36" s="48">
        <v>18000</v>
      </c>
      <c r="M36" s="48">
        <v>9500</v>
      </c>
      <c r="N36" s="8">
        <v>747</v>
      </c>
      <c r="O36" s="8" t="s">
        <v>53</v>
      </c>
    </row>
    <row r="37" spans="1:15" ht="15" customHeight="1" x14ac:dyDescent="0.25">
      <c r="A37" s="8" t="s">
        <v>156</v>
      </c>
      <c r="B37" s="9">
        <v>45742</v>
      </c>
      <c r="C37" s="8" t="s">
        <v>98</v>
      </c>
      <c r="D37" s="8" t="s">
        <v>157</v>
      </c>
      <c r="E37" s="8">
        <v>26</v>
      </c>
      <c r="F37" s="8" t="s">
        <v>76</v>
      </c>
      <c r="G37" s="8" t="s">
        <v>50</v>
      </c>
      <c r="H37" s="48">
        <v>53000</v>
      </c>
      <c r="I37" s="8" t="s">
        <v>71</v>
      </c>
      <c r="J37" s="48">
        <v>4100</v>
      </c>
      <c r="K37" s="8" t="s">
        <v>57</v>
      </c>
      <c r="L37" s="48">
        <v>7000</v>
      </c>
      <c r="M37" s="48"/>
      <c r="N37" s="8">
        <v>694</v>
      </c>
      <c r="O37" s="8" t="s">
        <v>58</v>
      </c>
    </row>
    <row r="38" spans="1:15" ht="15" customHeight="1" x14ac:dyDescent="0.25">
      <c r="A38" s="8" t="s">
        <v>158</v>
      </c>
      <c r="B38" s="9">
        <v>45743</v>
      </c>
      <c r="C38" s="8" t="s">
        <v>102</v>
      </c>
      <c r="D38" s="8" t="s">
        <v>159</v>
      </c>
      <c r="E38" s="8">
        <v>42</v>
      </c>
      <c r="F38" s="8" t="s">
        <v>124</v>
      </c>
      <c r="G38" s="8" t="s">
        <v>63</v>
      </c>
      <c r="H38" s="48">
        <v>144000</v>
      </c>
      <c r="I38" s="8" t="s">
        <v>100</v>
      </c>
      <c r="J38" s="48">
        <v>37000</v>
      </c>
      <c r="K38" s="8" t="s">
        <v>82</v>
      </c>
      <c r="L38" s="48">
        <v>46000</v>
      </c>
      <c r="M38" s="48">
        <v>21000</v>
      </c>
      <c r="N38" s="8">
        <v>810</v>
      </c>
      <c r="O38" s="8" t="s">
        <v>66</v>
      </c>
    </row>
    <row r="39" spans="1:15" ht="15" customHeight="1" x14ac:dyDescent="0.25">
      <c r="A39" s="8" t="s">
        <v>160</v>
      </c>
      <c r="B39" s="9">
        <v>45744</v>
      </c>
      <c r="C39" s="8" t="s">
        <v>39</v>
      </c>
      <c r="D39" s="8" t="s">
        <v>161</v>
      </c>
      <c r="E39" s="8">
        <v>29</v>
      </c>
      <c r="F39" s="8" t="s">
        <v>41</v>
      </c>
      <c r="G39" s="8" t="s">
        <v>42</v>
      </c>
      <c r="H39" s="48">
        <v>69000</v>
      </c>
      <c r="I39" s="8" t="s">
        <v>51</v>
      </c>
      <c r="J39" s="48">
        <v>6200</v>
      </c>
      <c r="K39" s="8" t="s">
        <v>44</v>
      </c>
      <c r="L39" s="48">
        <v>12500</v>
      </c>
      <c r="M39" s="48">
        <v>3000</v>
      </c>
      <c r="N39" s="8">
        <v>728</v>
      </c>
      <c r="O39" s="8" t="s">
        <v>53</v>
      </c>
    </row>
    <row r="40" spans="1:15" ht="15" customHeight="1" x14ac:dyDescent="0.25">
      <c r="A40" s="8" t="s">
        <v>162</v>
      </c>
      <c r="B40" s="9">
        <v>45745</v>
      </c>
      <c r="C40" s="8" t="s">
        <v>47</v>
      </c>
      <c r="D40" s="8" t="s">
        <v>163</v>
      </c>
      <c r="E40" s="8">
        <v>33</v>
      </c>
      <c r="F40" s="8"/>
      <c r="G40" s="8" t="s">
        <v>42</v>
      </c>
      <c r="H40" s="48">
        <v>78000</v>
      </c>
      <c r="I40" s="8" t="s">
        <v>43</v>
      </c>
      <c r="J40" s="48">
        <v>22000</v>
      </c>
      <c r="K40" s="8" t="s">
        <v>52</v>
      </c>
      <c r="L40" s="48">
        <v>15000</v>
      </c>
      <c r="M40" s="48">
        <v>7000</v>
      </c>
      <c r="N40" s="8">
        <v>739</v>
      </c>
      <c r="O40" s="8" t="s">
        <v>53</v>
      </c>
    </row>
    <row r="41" spans="1:15" ht="15" customHeight="1" x14ac:dyDescent="0.25">
      <c r="A41" s="8" t="s">
        <v>164</v>
      </c>
      <c r="B41" s="9">
        <v>45746</v>
      </c>
      <c r="C41" s="8" t="s">
        <v>55</v>
      </c>
      <c r="D41" s="8" t="s">
        <v>165</v>
      </c>
      <c r="E41" s="8">
        <v>24</v>
      </c>
      <c r="F41" s="8" t="s">
        <v>41</v>
      </c>
      <c r="G41" s="8" t="s">
        <v>86</v>
      </c>
      <c r="H41" s="48">
        <v>30000</v>
      </c>
      <c r="I41" s="8" t="s">
        <v>105</v>
      </c>
      <c r="J41" s="48">
        <v>3500</v>
      </c>
      <c r="K41" s="8" t="s">
        <v>57</v>
      </c>
      <c r="L41" s="48">
        <v>4000</v>
      </c>
      <c r="M41" s="48"/>
      <c r="N41" s="8">
        <v>680</v>
      </c>
      <c r="O41" s="8" t="s">
        <v>58</v>
      </c>
    </row>
    <row r="42" spans="1:15" ht="15" customHeight="1" x14ac:dyDescent="0.25">
      <c r="A42" s="8" t="s">
        <v>166</v>
      </c>
      <c r="B42" s="9">
        <v>45747</v>
      </c>
      <c r="C42" s="8" t="s">
        <v>60</v>
      </c>
      <c r="D42" s="8" t="s">
        <v>167</v>
      </c>
      <c r="E42" s="8">
        <v>45</v>
      </c>
      <c r="F42" s="8" t="s">
        <v>62</v>
      </c>
      <c r="G42" s="8" t="s">
        <v>63</v>
      </c>
      <c r="H42" s="48">
        <v>158000</v>
      </c>
      <c r="I42" s="8" t="s">
        <v>77</v>
      </c>
      <c r="J42" s="48">
        <v>9100</v>
      </c>
      <c r="K42" s="8" t="s">
        <v>65</v>
      </c>
      <c r="L42" s="48">
        <v>54000</v>
      </c>
      <c r="M42" s="48">
        <v>8000</v>
      </c>
      <c r="N42" s="8">
        <v>822</v>
      </c>
      <c r="O42" s="8" t="s">
        <v>66</v>
      </c>
    </row>
    <row r="43" spans="1:15" ht="15" customHeight="1" x14ac:dyDescent="0.25">
      <c r="A43" s="8" t="s">
        <v>168</v>
      </c>
      <c r="B43" s="9">
        <v>45748</v>
      </c>
      <c r="C43" s="8" t="s">
        <v>68</v>
      </c>
      <c r="D43" s="8" t="s">
        <v>169</v>
      </c>
      <c r="E43" s="8">
        <v>30</v>
      </c>
      <c r="F43" s="8" t="s">
        <v>41</v>
      </c>
      <c r="G43" s="8"/>
      <c r="H43" s="48">
        <v>73000</v>
      </c>
      <c r="I43" s="8" t="s">
        <v>96</v>
      </c>
      <c r="J43" s="48">
        <v>7900</v>
      </c>
      <c r="K43" s="8"/>
      <c r="L43" s="48">
        <v>13500</v>
      </c>
      <c r="M43" s="48">
        <v>4000</v>
      </c>
      <c r="N43" s="8">
        <v>736</v>
      </c>
      <c r="O43" s="8" t="s">
        <v>53</v>
      </c>
    </row>
    <row r="44" spans="1:15" ht="15" customHeight="1" x14ac:dyDescent="0.25">
      <c r="A44" s="8" t="s">
        <v>170</v>
      </c>
      <c r="B44" s="9">
        <v>45749</v>
      </c>
      <c r="C44" s="8" t="s">
        <v>74</v>
      </c>
      <c r="D44" s="8" t="s">
        <v>171</v>
      </c>
      <c r="E44" s="8">
        <v>36</v>
      </c>
      <c r="F44" s="8" t="s">
        <v>49</v>
      </c>
      <c r="G44" s="8" t="s">
        <v>42</v>
      </c>
      <c r="H44" s="48">
        <v>86000</v>
      </c>
      <c r="I44" s="8"/>
      <c r="J44" s="48">
        <v>9700</v>
      </c>
      <c r="K44" s="8" t="s">
        <v>52</v>
      </c>
      <c r="L44" s="48">
        <v>19000</v>
      </c>
      <c r="M44" s="48">
        <v>10000</v>
      </c>
      <c r="N44" s="8">
        <v>748</v>
      </c>
      <c r="O44" s="8" t="s">
        <v>53</v>
      </c>
    </row>
    <row r="45" spans="1:15" ht="15" customHeight="1" x14ac:dyDescent="0.25">
      <c r="A45" s="8" t="s">
        <v>172</v>
      </c>
      <c r="B45" s="9">
        <v>45750</v>
      </c>
      <c r="C45" s="8" t="s">
        <v>79</v>
      </c>
      <c r="D45" s="8" t="s">
        <v>173</v>
      </c>
      <c r="E45" s="8">
        <v>27</v>
      </c>
      <c r="F45" s="8" t="s">
        <v>41</v>
      </c>
      <c r="G45" s="8" t="s">
        <v>50</v>
      </c>
      <c r="H45" s="48">
        <v>52000</v>
      </c>
      <c r="I45" s="8" t="s">
        <v>71</v>
      </c>
      <c r="J45" s="48">
        <v>4500</v>
      </c>
      <c r="K45" s="8" t="s">
        <v>44</v>
      </c>
      <c r="L45" s="48">
        <v>6500</v>
      </c>
      <c r="M45" s="48"/>
      <c r="N45" s="8">
        <v>696</v>
      </c>
      <c r="O45" s="8" t="s">
        <v>58</v>
      </c>
    </row>
    <row r="46" spans="1:15" ht="15" customHeight="1" x14ac:dyDescent="0.25">
      <c r="A46" s="8" t="s">
        <v>174</v>
      </c>
      <c r="B46" s="9">
        <v>45751</v>
      </c>
      <c r="C46" s="8" t="s">
        <v>84</v>
      </c>
      <c r="D46" s="8" t="s">
        <v>175</v>
      </c>
      <c r="E46" s="8">
        <v>41</v>
      </c>
      <c r="F46" s="8" t="s">
        <v>104</v>
      </c>
      <c r="G46" s="8" t="s">
        <v>63</v>
      </c>
      <c r="H46" s="48">
        <v>139000</v>
      </c>
      <c r="I46" s="8" t="s">
        <v>100</v>
      </c>
      <c r="J46" s="48">
        <v>35000</v>
      </c>
      <c r="K46" s="8" t="s">
        <v>82</v>
      </c>
      <c r="L46" s="48">
        <v>42000</v>
      </c>
      <c r="M46" s="48">
        <v>18000</v>
      </c>
      <c r="N46" s="8">
        <v>801</v>
      </c>
      <c r="O46" s="8" t="s">
        <v>66</v>
      </c>
    </row>
    <row r="47" spans="1:15" ht="15" customHeight="1" x14ac:dyDescent="0.25">
      <c r="A47" s="8" t="s">
        <v>176</v>
      </c>
      <c r="B47" s="9">
        <v>45752</v>
      </c>
      <c r="C47" s="8" t="s">
        <v>89</v>
      </c>
      <c r="D47" s="8" t="s">
        <v>177</v>
      </c>
      <c r="E47" s="8">
        <v>31</v>
      </c>
      <c r="F47" s="8" t="s">
        <v>41</v>
      </c>
      <c r="G47" s="8" t="s">
        <v>42</v>
      </c>
      <c r="H47" s="48">
        <v>71000</v>
      </c>
      <c r="I47" s="8" t="s">
        <v>64</v>
      </c>
      <c r="J47" s="48">
        <v>6100</v>
      </c>
      <c r="K47" s="8" t="s">
        <v>52</v>
      </c>
      <c r="L47" s="48">
        <v>14000</v>
      </c>
      <c r="M47" s="48">
        <v>3500</v>
      </c>
      <c r="N47" s="8">
        <v>734</v>
      </c>
      <c r="O47" s="8" t="s">
        <v>53</v>
      </c>
    </row>
    <row r="48" spans="1:15" ht="15" customHeight="1" x14ac:dyDescent="0.25">
      <c r="A48" s="8" t="s">
        <v>178</v>
      </c>
      <c r="B48" s="9">
        <v>45753</v>
      </c>
      <c r="C48" s="8" t="s">
        <v>93</v>
      </c>
      <c r="D48" s="8" t="s">
        <v>179</v>
      </c>
      <c r="E48" s="8">
        <v>28</v>
      </c>
      <c r="F48" s="8"/>
      <c r="G48" s="8" t="s">
        <v>42</v>
      </c>
      <c r="H48" s="48">
        <v>67000</v>
      </c>
      <c r="I48" s="8" t="s">
        <v>43</v>
      </c>
      <c r="J48" s="48">
        <v>19500</v>
      </c>
      <c r="K48" s="8" t="s">
        <v>44</v>
      </c>
      <c r="L48" s="48">
        <v>10500</v>
      </c>
      <c r="M48" s="48">
        <v>4500</v>
      </c>
      <c r="N48" s="8">
        <v>718</v>
      </c>
      <c r="O48" s="8" t="s">
        <v>45</v>
      </c>
    </row>
    <row r="49" spans="1:15" ht="15" customHeight="1" x14ac:dyDescent="0.25">
      <c r="A49" s="8" t="s">
        <v>180</v>
      </c>
      <c r="B49" s="9">
        <v>45754</v>
      </c>
      <c r="C49" s="8" t="s">
        <v>98</v>
      </c>
      <c r="D49" s="8" t="s">
        <v>181</v>
      </c>
      <c r="E49" s="8">
        <v>25</v>
      </c>
      <c r="F49" s="8" t="s">
        <v>41</v>
      </c>
      <c r="G49" s="8" t="s">
        <v>86</v>
      </c>
      <c r="H49" s="48">
        <v>31000</v>
      </c>
      <c r="I49" s="8" t="s">
        <v>87</v>
      </c>
      <c r="J49" s="48">
        <v>3900</v>
      </c>
      <c r="K49" s="8" t="s">
        <v>57</v>
      </c>
      <c r="L49" s="48">
        <v>3000</v>
      </c>
      <c r="M49" s="48"/>
      <c r="N49" s="8">
        <v>677</v>
      </c>
      <c r="O49" s="8" t="s">
        <v>58</v>
      </c>
    </row>
    <row r="50" spans="1:15" ht="15" customHeight="1" x14ac:dyDescent="0.25">
      <c r="A50" s="8" t="s">
        <v>182</v>
      </c>
      <c r="B50" s="9">
        <v>45755</v>
      </c>
      <c r="C50" s="8" t="s">
        <v>102</v>
      </c>
      <c r="D50" s="8" t="s">
        <v>183</v>
      </c>
      <c r="E50" s="8">
        <v>43</v>
      </c>
      <c r="F50" s="8" t="s">
        <v>124</v>
      </c>
      <c r="G50" s="8" t="s">
        <v>63</v>
      </c>
      <c r="H50" s="48">
        <v>148000</v>
      </c>
      <c r="I50" s="8" t="s">
        <v>77</v>
      </c>
      <c r="J50" s="48">
        <v>8300</v>
      </c>
      <c r="K50" s="8" t="s">
        <v>65</v>
      </c>
      <c r="L50" s="48">
        <v>49000</v>
      </c>
      <c r="M50" s="48">
        <v>22000</v>
      </c>
      <c r="N50" s="8">
        <v>814</v>
      </c>
      <c r="O50" s="8" t="s">
        <v>66</v>
      </c>
    </row>
    <row r="51" spans="1:15" ht="15" customHeight="1" x14ac:dyDescent="0.25">
      <c r="A51" s="8" t="s">
        <v>184</v>
      </c>
      <c r="B51" s="9">
        <v>45756</v>
      </c>
      <c r="C51" s="8" t="s">
        <v>39</v>
      </c>
      <c r="D51" s="8" t="s">
        <v>185</v>
      </c>
      <c r="E51" s="8">
        <v>30</v>
      </c>
      <c r="F51" s="8" t="s">
        <v>41</v>
      </c>
      <c r="G51" s="8" t="s">
        <v>42</v>
      </c>
      <c r="H51" s="48">
        <v>72000</v>
      </c>
      <c r="I51" s="8" t="s">
        <v>96</v>
      </c>
      <c r="J51" s="48">
        <v>7400</v>
      </c>
      <c r="K51" s="8" t="s">
        <v>44</v>
      </c>
      <c r="L51" s="48">
        <v>13200</v>
      </c>
      <c r="M51" s="48">
        <v>3000</v>
      </c>
      <c r="N51" s="8">
        <v>731</v>
      </c>
      <c r="O51" s="8" t="s">
        <v>53</v>
      </c>
    </row>
    <row r="52" spans="1:15" ht="15" customHeight="1" x14ac:dyDescent="0.25">
      <c r="A52" s="8" t="s">
        <v>186</v>
      </c>
      <c r="B52" s="9">
        <v>45757</v>
      </c>
      <c r="C52" s="8" t="s">
        <v>47</v>
      </c>
      <c r="D52" s="8" t="s">
        <v>187</v>
      </c>
      <c r="E52" s="8">
        <v>35</v>
      </c>
      <c r="F52" s="8" t="s">
        <v>104</v>
      </c>
      <c r="G52" s="8"/>
      <c r="H52" s="48">
        <v>80000</v>
      </c>
      <c r="I52" s="8" t="s">
        <v>139</v>
      </c>
      <c r="J52" s="48">
        <v>10100</v>
      </c>
      <c r="K52" s="8" t="s">
        <v>52</v>
      </c>
      <c r="L52" s="48">
        <v>17500</v>
      </c>
      <c r="M52" s="48">
        <v>9000</v>
      </c>
      <c r="N52" s="8">
        <v>744</v>
      </c>
      <c r="O52" s="8" t="s">
        <v>53</v>
      </c>
    </row>
    <row r="53" spans="1:15" ht="15" customHeight="1" x14ac:dyDescent="0.25">
      <c r="A53" s="8" t="s">
        <v>188</v>
      </c>
      <c r="B53" s="9">
        <v>45758</v>
      </c>
      <c r="C53" s="8" t="s">
        <v>55</v>
      </c>
      <c r="D53" s="8" t="s">
        <v>189</v>
      </c>
      <c r="E53" s="8">
        <v>27</v>
      </c>
      <c r="F53" s="8" t="s">
        <v>41</v>
      </c>
      <c r="G53" s="8" t="s">
        <v>50</v>
      </c>
      <c r="H53" s="48">
        <v>54000</v>
      </c>
      <c r="I53" s="8" t="s">
        <v>105</v>
      </c>
      <c r="J53" s="48">
        <v>5100</v>
      </c>
      <c r="K53" s="8" t="s">
        <v>44</v>
      </c>
      <c r="L53" s="48">
        <v>7200</v>
      </c>
      <c r="M53" s="48"/>
      <c r="N53" s="8">
        <v>700</v>
      </c>
      <c r="O53" s="8" t="s">
        <v>45</v>
      </c>
    </row>
    <row r="54" spans="1:15" ht="15" customHeight="1" x14ac:dyDescent="0.25">
      <c r="A54" s="8" t="s">
        <v>190</v>
      </c>
      <c r="B54" s="9">
        <v>45684</v>
      </c>
      <c r="C54" s="8" t="s">
        <v>60</v>
      </c>
      <c r="D54" s="8" t="s">
        <v>191</v>
      </c>
      <c r="E54" s="8">
        <v>30</v>
      </c>
      <c r="F54" s="8" t="s">
        <v>41</v>
      </c>
      <c r="G54" s="8" t="s">
        <v>42</v>
      </c>
      <c r="H54" s="48">
        <v>67000</v>
      </c>
      <c r="I54" s="8" t="s">
        <v>77</v>
      </c>
      <c r="J54" s="48">
        <v>3400</v>
      </c>
      <c r="K54" s="8" t="s">
        <v>44</v>
      </c>
      <c r="L54" s="48">
        <v>14000</v>
      </c>
      <c r="M54" s="48">
        <v>2500</v>
      </c>
      <c r="N54" s="8">
        <v>738</v>
      </c>
      <c r="O54" s="8" t="s">
        <v>53</v>
      </c>
    </row>
    <row r="55" spans="1:15" ht="15" customHeight="1" x14ac:dyDescent="0.25">
      <c r="A55" s="8" t="s">
        <v>192</v>
      </c>
      <c r="B55" s="9">
        <v>45685</v>
      </c>
      <c r="C55" s="8" t="s">
        <v>68</v>
      </c>
      <c r="D55" s="8" t="s">
        <v>193</v>
      </c>
      <c r="E55" s="8">
        <v>27</v>
      </c>
      <c r="F55" s="8" t="s">
        <v>104</v>
      </c>
      <c r="G55" s="8" t="s">
        <v>50</v>
      </c>
      <c r="H55" s="48">
        <v>51000</v>
      </c>
      <c r="I55" s="8"/>
      <c r="J55" s="48">
        <v>4700</v>
      </c>
      <c r="K55" s="8" t="s">
        <v>57</v>
      </c>
      <c r="L55" s="48">
        <v>6000</v>
      </c>
      <c r="M55" s="48"/>
      <c r="N55" s="8">
        <v>688</v>
      </c>
      <c r="O55" s="8" t="s">
        <v>58</v>
      </c>
    </row>
    <row r="56" spans="1:15" ht="15" customHeight="1" x14ac:dyDescent="0.25">
      <c r="A56" s="8" t="s">
        <v>194</v>
      </c>
      <c r="B56" s="9">
        <v>45686</v>
      </c>
      <c r="C56" s="8" t="s">
        <v>74</v>
      </c>
      <c r="D56" s="8" t="s">
        <v>195</v>
      </c>
      <c r="E56" s="8">
        <v>35</v>
      </c>
      <c r="F56" s="8" t="s">
        <v>62</v>
      </c>
      <c r="G56" s="8" t="s">
        <v>63</v>
      </c>
      <c r="H56" s="48">
        <v>118000</v>
      </c>
      <c r="I56" s="8" t="s">
        <v>43</v>
      </c>
      <c r="J56" s="48">
        <v>28000</v>
      </c>
      <c r="K56" s="8"/>
      <c r="L56" s="48">
        <v>32000</v>
      </c>
      <c r="M56" s="48">
        <v>14000</v>
      </c>
      <c r="N56" s="8">
        <v>799</v>
      </c>
      <c r="O56" s="8" t="s">
        <v>66</v>
      </c>
    </row>
    <row r="57" spans="1:15" ht="15" customHeight="1" x14ac:dyDescent="0.25">
      <c r="A57" s="8" t="s">
        <v>196</v>
      </c>
      <c r="B57" s="9">
        <v>45687</v>
      </c>
      <c r="C57" s="8" t="s">
        <v>79</v>
      </c>
      <c r="D57" s="8" t="s">
        <v>197</v>
      </c>
      <c r="E57" s="8">
        <v>44</v>
      </c>
      <c r="F57" s="8"/>
      <c r="G57" s="8" t="s">
        <v>42</v>
      </c>
      <c r="H57" s="48">
        <v>83000</v>
      </c>
      <c r="I57" s="8" t="s">
        <v>64</v>
      </c>
      <c r="J57" s="48">
        <v>7200</v>
      </c>
      <c r="K57" s="8" t="s">
        <v>65</v>
      </c>
      <c r="L57" s="48">
        <v>18000</v>
      </c>
      <c r="M57" s="48">
        <v>10000</v>
      </c>
      <c r="N57" s="8">
        <v>712</v>
      </c>
      <c r="O57" s="8" t="s">
        <v>45</v>
      </c>
    </row>
    <row r="58" spans="1:15" ht="15" customHeight="1" x14ac:dyDescent="0.25">
      <c r="A58" s="8" t="s">
        <v>198</v>
      </c>
      <c r="B58" s="9">
        <v>45688</v>
      </c>
      <c r="C58" s="8" t="s">
        <v>84</v>
      </c>
      <c r="D58" s="8" t="s">
        <v>199</v>
      </c>
      <c r="E58" s="8">
        <v>26</v>
      </c>
      <c r="F58" s="8" t="s">
        <v>41</v>
      </c>
      <c r="G58" s="8" t="s">
        <v>86</v>
      </c>
      <c r="H58" s="48">
        <v>31000</v>
      </c>
      <c r="I58" s="8" t="s">
        <v>87</v>
      </c>
      <c r="J58" s="48">
        <v>3800</v>
      </c>
      <c r="K58" s="8" t="s">
        <v>44</v>
      </c>
      <c r="L58" s="48">
        <v>4500</v>
      </c>
      <c r="M58" s="48"/>
      <c r="N58" s="8">
        <v>675</v>
      </c>
      <c r="O58" s="8" t="s">
        <v>58</v>
      </c>
    </row>
    <row r="59" spans="1:15" ht="15" customHeight="1" x14ac:dyDescent="0.25">
      <c r="A59" s="8" t="s">
        <v>200</v>
      </c>
      <c r="B59" s="9">
        <v>45689</v>
      </c>
      <c r="C59" s="8" t="s">
        <v>89</v>
      </c>
      <c r="D59" s="8" t="s">
        <v>201</v>
      </c>
      <c r="E59" s="8">
        <v>33</v>
      </c>
      <c r="F59" s="8" t="s">
        <v>49</v>
      </c>
      <c r="G59" s="8" t="s">
        <v>42</v>
      </c>
      <c r="H59" s="48">
        <v>78000</v>
      </c>
      <c r="I59" s="8" t="s">
        <v>139</v>
      </c>
      <c r="J59" s="48">
        <v>9100</v>
      </c>
      <c r="K59" s="8" t="s">
        <v>52</v>
      </c>
      <c r="L59" s="48">
        <v>13000</v>
      </c>
      <c r="M59" s="48">
        <v>5000</v>
      </c>
      <c r="N59" s="8">
        <v>741</v>
      </c>
      <c r="O59" s="8" t="s">
        <v>53</v>
      </c>
    </row>
    <row r="60" spans="1:15" ht="15" customHeight="1" x14ac:dyDescent="0.25">
      <c r="A60" s="8" t="s">
        <v>202</v>
      </c>
      <c r="B60" s="9">
        <v>45690</v>
      </c>
      <c r="C60" s="8" t="s">
        <v>93</v>
      </c>
      <c r="D60" s="8" t="s">
        <v>203</v>
      </c>
      <c r="E60" s="8">
        <v>29</v>
      </c>
      <c r="F60" s="8" t="s">
        <v>95</v>
      </c>
      <c r="G60" s="8" t="s">
        <v>50</v>
      </c>
      <c r="H60" s="48">
        <v>56000</v>
      </c>
      <c r="I60" s="8" t="s">
        <v>96</v>
      </c>
      <c r="J60" s="48">
        <v>6900</v>
      </c>
      <c r="K60" s="8" t="s">
        <v>44</v>
      </c>
      <c r="L60" s="48">
        <v>8000</v>
      </c>
      <c r="M60" s="48">
        <v>7000</v>
      </c>
      <c r="N60" s="8">
        <v>701</v>
      </c>
      <c r="O60" s="8" t="s">
        <v>45</v>
      </c>
    </row>
    <row r="61" spans="1:15" ht="15" customHeight="1" x14ac:dyDescent="0.25">
      <c r="A61" s="8" t="s">
        <v>204</v>
      </c>
      <c r="B61" s="9">
        <v>45691</v>
      </c>
      <c r="C61" s="8" t="s">
        <v>98</v>
      </c>
      <c r="D61" s="8" t="s">
        <v>205</v>
      </c>
      <c r="E61" s="8">
        <v>39</v>
      </c>
      <c r="F61" s="8" t="s">
        <v>104</v>
      </c>
      <c r="G61" s="8"/>
      <c r="H61" s="48">
        <v>138000</v>
      </c>
      <c r="I61" s="8" t="s">
        <v>100</v>
      </c>
      <c r="J61" s="48">
        <v>32000</v>
      </c>
      <c r="K61" s="8" t="s">
        <v>65</v>
      </c>
      <c r="L61" s="48">
        <v>41000</v>
      </c>
      <c r="M61" s="48">
        <v>18000</v>
      </c>
      <c r="N61" s="8">
        <v>807</v>
      </c>
      <c r="O61" s="8" t="s">
        <v>66</v>
      </c>
    </row>
    <row r="62" spans="1:15" ht="15" customHeight="1" x14ac:dyDescent="0.25">
      <c r="A62" s="8" t="s">
        <v>206</v>
      </c>
      <c r="B62" s="9">
        <v>45692</v>
      </c>
      <c r="C62" s="8" t="s">
        <v>102</v>
      </c>
      <c r="D62" s="8" t="s">
        <v>207</v>
      </c>
      <c r="E62" s="8">
        <v>31</v>
      </c>
      <c r="F62" s="8" t="s">
        <v>41</v>
      </c>
      <c r="G62" s="8" t="s">
        <v>42</v>
      </c>
      <c r="H62" s="48">
        <v>69000</v>
      </c>
      <c r="I62" s="8" t="s">
        <v>51</v>
      </c>
      <c r="J62" s="48">
        <v>6400</v>
      </c>
      <c r="K62" s="8" t="s">
        <v>52</v>
      </c>
      <c r="L62" s="48">
        <v>12000</v>
      </c>
      <c r="M62" s="48">
        <v>3000</v>
      </c>
      <c r="N62" s="8">
        <v>728</v>
      </c>
      <c r="O62" s="8" t="s">
        <v>53</v>
      </c>
    </row>
    <row r="63" spans="1:15" ht="15" customHeight="1" x14ac:dyDescent="0.25">
      <c r="A63" s="8" t="s">
        <v>208</v>
      </c>
      <c r="B63" s="9">
        <v>45693</v>
      </c>
      <c r="C63" s="8" t="s">
        <v>39</v>
      </c>
      <c r="D63" s="8" t="s">
        <v>209</v>
      </c>
      <c r="E63" s="8">
        <v>28</v>
      </c>
      <c r="F63" s="8" t="s">
        <v>41</v>
      </c>
      <c r="G63" s="8" t="s">
        <v>42</v>
      </c>
      <c r="H63" s="48">
        <v>62000</v>
      </c>
      <c r="I63" s="8" t="s">
        <v>43</v>
      </c>
      <c r="J63" s="48">
        <v>19000</v>
      </c>
      <c r="K63" s="8" t="s">
        <v>44</v>
      </c>
      <c r="L63" s="48">
        <v>10000</v>
      </c>
      <c r="M63" s="48">
        <v>4000</v>
      </c>
      <c r="N63" s="8">
        <v>719</v>
      </c>
      <c r="O63" s="8" t="s">
        <v>45</v>
      </c>
    </row>
    <row r="64" spans="1:15" ht="15" customHeight="1" x14ac:dyDescent="0.25">
      <c r="A64" s="8" t="s">
        <v>210</v>
      </c>
      <c r="B64" s="9">
        <v>45694</v>
      </c>
      <c r="C64" s="8" t="s">
        <v>47</v>
      </c>
      <c r="D64" s="8" t="s">
        <v>211</v>
      </c>
      <c r="E64" s="8">
        <v>36</v>
      </c>
      <c r="F64" s="8" t="s">
        <v>104</v>
      </c>
      <c r="G64" s="8" t="s">
        <v>42</v>
      </c>
      <c r="H64" s="48">
        <v>87000</v>
      </c>
      <c r="I64" s="8" t="s">
        <v>116</v>
      </c>
      <c r="J64" s="48">
        <v>4300</v>
      </c>
      <c r="K64" s="8" t="s">
        <v>57</v>
      </c>
      <c r="L64" s="48">
        <v>17000</v>
      </c>
      <c r="M64" s="48">
        <v>8500</v>
      </c>
      <c r="N64" s="8">
        <v>734</v>
      </c>
      <c r="O64" s="8" t="s">
        <v>53</v>
      </c>
    </row>
    <row r="65" spans="1:15" ht="15" customHeight="1" x14ac:dyDescent="0.25">
      <c r="A65" s="8" t="s">
        <v>212</v>
      </c>
      <c r="B65" s="9">
        <v>45695</v>
      </c>
      <c r="C65" s="8" t="s">
        <v>55</v>
      </c>
      <c r="D65" s="8" t="s">
        <v>213</v>
      </c>
      <c r="E65" s="8">
        <v>24</v>
      </c>
      <c r="F65" s="8" t="s">
        <v>76</v>
      </c>
      <c r="G65" s="8" t="s">
        <v>86</v>
      </c>
      <c r="H65" s="48">
        <v>29000</v>
      </c>
      <c r="I65" s="8" t="s">
        <v>71</v>
      </c>
      <c r="J65" s="48">
        <v>3600</v>
      </c>
      <c r="K65" s="8" t="s">
        <v>44</v>
      </c>
      <c r="L65" s="48">
        <v>3000</v>
      </c>
      <c r="M65" s="48"/>
      <c r="N65" s="8">
        <v>682</v>
      </c>
      <c r="O65" s="8" t="s">
        <v>58</v>
      </c>
    </row>
    <row r="66" spans="1:15" ht="15" customHeight="1" x14ac:dyDescent="0.25">
      <c r="A66" s="8" t="s">
        <v>214</v>
      </c>
      <c r="B66" s="9">
        <v>45696</v>
      </c>
      <c r="C66" s="8" t="s">
        <v>60</v>
      </c>
      <c r="D66" s="8" t="s">
        <v>215</v>
      </c>
      <c r="E66" s="8">
        <v>41</v>
      </c>
      <c r="F66" s="8" t="s">
        <v>124</v>
      </c>
      <c r="G66" s="8" t="s">
        <v>63</v>
      </c>
      <c r="H66" s="48">
        <v>128000</v>
      </c>
      <c r="I66" s="8" t="s">
        <v>77</v>
      </c>
      <c r="J66" s="48">
        <v>7600</v>
      </c>
      <c r="K66" s="8" t="s">
        <v>82</v>
      </c>
      <c r="L66" s="48">
        <v>35000</v>
      </c>
      <c r="M66" s="48">
        <v>16000</v>
      </c>
      <c r="N66" s="8">
        <v>792</v>
      </c>
      <c r="O66" s="8" t="s">
        <v>66</v>
      </c>
    </row>
    <row r="67" spans="1:15" ht="15" customHeight="1" x14ac:dyDescent="0.25">
      <c r="A67" s="8" t="s">
        <v>216</v>
      </c>
      <c r="B67" s="9">
        <v>45697</v>
      </c>
      <c r="C67" s="8" t="s">
        <v>68</v>
      </c>
      <c r="D67" s="8" t="s">
        <v>217</v>
      </c>
      <c r="E67" s="8">
        <v>32</v>
      </c>
      <c r="F67" s="8"/>
      <c r="G67" s="8" t="s">
        <v>42</v>
      </c>
      <c r="H67" s="48">
        <v>71000</v>
      </c>
      <c r="I67" s="8"/>
      <c r="J67" s="48">
        <v>6100</v>
      </c>
      <c r="K67" s="8" t="s">
        <v>52</v>
      </c>
      <c r="L67" s="48">
        <v>11000</v>
      </c>
      <c r="M67" s="48">
        <v>4500</v>
      </c>
      <c r="N67" s="8">
        <v>725</v>
      </c>
      <c r="O67" s="8" t="s">
        <v>53</v>
      </c>
    </row>
    <row r="68" spans="1:15" ht="15" customHeight="1" x14ac:dyDescent="0.25">
      <c r="A68" s="8" t="s">
        <v>218</v>
      </c>
      <c r="B68" s="9"/>
      <c r="C68" s="8" t="s">
        <v>74</v>
      </c>
      <c r="D68" s="8" t="s">
        <v>40</v>
      </c>
      <c r="E68" s="8">
        <v>29</v>
      </c>
      <c r="F68" s="8" t="s">
        <v>219</v>
      </c>
      <c r="G68" s="8" t="s">
        <v>220</v>
      </c>
      <c r="H68" s="48">
        <v>65000</v>
      </c>
      <c r="I68" s="8" t="s">
        <v>43</v>
      </c>
      <c r="J68" s="48">
        <v>18000</v>
      </c>
      <c r="K68" s="8" t="s">
        <v>44</v>
      </c>
      <c r="L68" s="48"/>
      <c r="M68" s="48">
        <v>5000</v>
      </c>
      <c r="N68" s="8">
        <v>742</v>
      </c>
      <c r="O68" s="8" t="s">
        <v>45</v>
      </c>
    </row>
    <row r="69" spans="1:15" ht="15" customHeight="1" x14ac:dyDescent="0.25">
      <c r="A69" s="8" t="s">
        <v>221</v>
      </c>
      <c r="B69" s="9">
        <v>45699</v>
      </c>
      <c r="C69" s="8" t="s">
        <v>79</v>
      </c>
      <c r="D69" s="8" t="s">
        <v>222</v>
      </c>
      <c r="E69" s="8">
        <v>27</v>
      </c>
      <c r="F69" s="8" t="s">
        <v>41</v>
      </c>
      <c r="G69" s="8" t="s">
        <v>50</v>
      </c>
      <c r="H69" s="48">
        <v>53000</v>
      </c>
      <c r="I69" s="8" t="s">
        <v>96</v>
      </c>
      <c r="J69" s="48">
        <v>7900</v>
      </c>
      <c r="K69" s="8" t="s">
        <v>44</v>
      </c>
      <c r="L69" s="48">
        <v>7000</v>
      </c>
      <c r="M69" s="48"/>
      <c r="N69" s="8">
        <v>695</v>
      </c>
      <c r="O69" s="8" t="s">
        <v>58</v>
      </c>
    </row>
    <row r="70" spans="1:15" ht="15" customHeight="1" x14ac:dyDescent="0.25">
      <c r="A70" s="8" t="s">
        <v>223</v>
      </c>
      <c r="B70" s="9">
        <v>45700</v>
      </c>
      <c r="C70" s="8" t="s">
        <v>84</v>
      </c>
      <c r="D70" s="8" t="s">
        <v>224</v>
      </c>
      <c r="E70" s="8">
        <v>38</v>
      </c>
      <c r="F70" s="8" t="s">
        <v>70</v>
      </c>
      <c r="G70" s="8" t="s">
        <v>42</v>
      </c>
      <c r="H70" s="48">
        <v>92000</v>
      </c>
      <c r="I70" s="8" t="s">
        <v>139</v>
      </c>
      <c r="J70" s="48">
        <v>10400</v>
      </c>
      <c r="K70" s="8" t="s">
        <v>52</v>
      </c>
      <c r="L70" s="48">
        <v>20000</v>
      </c>
      <c r="M70" s="48">
        <v>12000</v>
      </c>
      <c r="N70" s="8">
        <v>755</v>
      </c>
      <c r="O70" s="8" t="s">
        <v>53</v>
      </c>
    </row>
    <row r="71" spans="1:15" ht="15" customHeight="1" x14ac:dyDescent="0.25">
      <c r="A71" s="8" t="s">
        <v>225</v>
      </c>
      <c r="B71" s="9">
        <v>45701</v>
      </c>
      <c r="C71" s="8" t="s">
        <v>89</v>
      </c>
      <c r="D71" s="8" t="s">
        <v>226</v>
      </c>
      <c r="E71" s="8">
        <v>34</v>
      </c>
      <c r="F71" s="8" t="s">
        <v>81</v>
      </c>
      <c r="G71" s="8" t="s">
        <v>63</v>
      </c>
      <c r="H71" s="48">
        <v>142000</v>
      </c>
      <c r="I71" s="8" t="s">
        <v>100</v>
      </c>
      <c r="J71" s="48">
        <v>36000</v>
      </c>
      <c r="K71" s="8" t="s">
        <v>65</v>
      </c>
      <c r="L71" s="48">
        <v>45000</v>
      </c>
      <c r="M71" s="48">
        <v>20000</v>
      </c>
      <c r="N71" s="8">
        <v>812</v>
      </c>
      <c r="O71" s="8" t="s">
        <v>66</v>
      </c>
    </row>
    <row r="72" spans="1:15" ht="15" customHeight="1" x14ac:dyDescent="0.25">
      <c r="A72" s="8" t="s">
        <v>227</v>
      </c>
      <c r="B72" s="9">
        <v>45702</v>
      </c>
      <c r="C72" s="8" t="s">
        <v>93</v>
      </c>
      <c r="D72" s="8" t="s">
        <v>228</v>
      </c>
      <c r="E72" s="8">
        <v>43</v>
      </c>
      <c r="F72" s="8" t="s">
        <v>127</v>
      </c>
      <c r="G72" s="8" t="s">
        <v>42</v>
      </c>
      <c r="H72" s="48">
        <v>61000</v>
      </c>
      <c r="I72" s="8" t="s">
        <v>64</v>
      </c>
      <c r="J72" s="48">
        <v>5900</v>
      </c>
      <c r="K72" s="8" t="s">
        <v>57</v>
      </c>
      <c r="L72" s="48">
        <v>8000</v>
      </c>
      <c r="M72" s="48">
        <v>7000</v>
      </c>
      <c r="N72" s="8">
        <v>676</v>
      </c>
      <c r="O72" s="8" t="s">
        <v>72</v>
      </c>
    </row>
    <row r="73" spans="1:15" ht="15" customHeight="1" x14ac:dyDescent="0.25">
      <c r="A73" s="8" t="s">
        <v>229</v>
      </c>
      <c r="B73" s="9">
        <v>45703</v>
      </c>
      <c r="C73" s="8" t="s">
        <v>98</v>
      </c>
      <c r="D73" s="8" t="s">
        <v>230</v>
      </c>
      <c r="E73" s="8">
        <v>29</v>
      </c>
      <c r="F73" s="8" t="s">
        <v>41</v>
      </c>
      <c r="G73" s="8"/>
      <c r="H73" s="48">
        <v>73000</v>
      </c>
      <c r="I73" s="8" t="s">
        <v>77</v>
      </c>
      <c r="J73" s="48">
        <v>4100</v>
      </c>
      <c r="K73" s="8" t="s">
        <v>44</v>
      </c>
      <c r="L73" s="48">
        <v>15000</v>
      </c>
      <c r="M73" s="48">
        <v>3000</v>
      </c>
      <c r="N73" s="8">
        <v>744</v>
      </c>
      <c r="O73" s="8" t="s">
        <v>53</v>
      </c>
    </row>
    <row r="74" spans="1:15" ht="15" customHeight="1" x14ac:dyDescent="0.25">
      <c r="A74" s="8" t="s">
        <v>231</v>
      </c>
      <c r="B74" s="9">
        <v>45704</v>
      </c>
      <c r="C74" s="8" t="s">
        <v>102</v>
      </c>
      <c r="D74" s="8" t="s">
        <v>232</v>
      </c>
      <c r="E74" s="8">
        <v>37</v>
      </c>
      <c r="F74" s="8" t="s">
        <v>49</v>
      </c>
      <c r="G74" s="8" t="s">
        <v>50</v>
      </c>
      <c r="H74" s="48">
        <v>64000</v>
      </c>
      <c r="I74" s="8" t="s">
        <v>105</v>
      </c>
      <c r="J74" s="48">
        <v>5600</v>
      </c>
      <c r="K74" s="8" t="s">
        <v>52</v>
      </c>
      <c r="L74" s="48">
        <v>12000</v>
      </c>
      <c r="M74" s="48">
        <v>2500</v>
      </c>
      <c r="N74" s="8">
        <v>718</v>
      </c>
      <c r="O74" s="8" t="s">
        <v>45</v>
      </c>
    </row>
    <row r="75" spans="1:15" ht="15" customHeight="1" x14ac:dyDescent="0.25">
      <c r="A75" s="8" t="s">
        <v>233</v>
      </c>
      <c r="B75" s="9">
        <v>45705</v>
      </c>
      <c r="C75" s="8" t="s">
        <v>39</v>
      </c>
      <c r="D75" s="8" t="s">
        <v>234</v>
      </c>
      <c r="E75" s="8">
        <v>26</v>
      </c>
      <c r="F75" s="8" t="s">
        <v>104</v>
      </c>
      <c r="G75" s="8" t="s">
        <v>42</v>
      </c>
      <c r="H75" s="48">
        <v>58000</v>
      </c>
      <c r="I75" s="8" t="s">
        <v>87</v>
      </c>
      <c r="J75" s="48">
        <v>6200</v>
      </c>
      <c r="K75" s="8" t="s">
        <v>44</v>
      </c>
      <c r="L75" s="48">
        <v>9000</v>
      </c>
      <c r="M75" s="48">
        <v>9800</v>
      </c>
      <c r="N75" s="8">
        <v>708</v>
      </c>
      <c r="O75" s="8" t="s">
        <v>45</v>
      </c>
    </row>
    <row r="76" spans="1:15" ht="15" customHeight="1" x14ac:dyDescent="0.25">
      <c r="A76" s="8" t="s">
        <v>235</v>
      </c>
      <c r="B76" s="9">
        <v>45706</v>
      </c>
      <c r="C76" s="8" t="s">
        <v>47</v>
      </c>
      <c r="D76" s="8" t="s">
        <v>236</v>
      </c>
      <c r="E76" s="8">
        <v>45</v>
      </c>
      <c r="F76" s="8" t="s">
        <v>62</v>
      </c>
      <c r="G76" s="8" t="s">
        <v>63</v>
      </c>
      <c r="H76" s="48">
        <v>155000</v>
      </c>
      <c r="I76" s="8" t="s">
        <v>43</v>
      </c>
      <c r="J76" s="48">
        <v>34000</v>
      </c>
      <c r="K76" s="8"/>
      <c r="L76" s="48">
        <v>50000</v>
      </c>
      <c r="M76" s="48">
        <v>22000</v>
      </c>
      <c r="N76" s="8">
        <v>820</v>
      </c>
      <c r="O76" s="8" t="s">
        <v>66</v>
      </c>
    </row>
    <row r="77" spans="1:15" ht="15" customHeight="1" x14ac:dyDescent="0.25">
      <c r="A77" s="8" t="s">
        <v>237</v>
      </c>
      <c r="B77" s="9">
        <v>45707</v>
      </c>
      <c r="C77" s="8" t="s">
        <v>55</v>
      </c>
      <c r="D77" s="8" t="s">
        <v>238</v>
      </c>
      <c r="E77" s="8">
        <v>30</v>
      </c>
      <c r="F77" s="8" t="s">
        <v>41</v>
      </c>
      <c r="G77" s="8" t="s">
        <v>42</v>
      </c>
      <c r="H77" s="48">
        <v>70000</v>
      </c>
      <c r="I77" s="8" t="s">
        <v>71</v>
      </c>
      <c r="J77" s="48">
        <v>5300</v>
      </c>
      <c r="K77" s="8" t="s">
        <v>52</v>
      </c>
      <c r="L77" s="48">
        <v>13000</v>
      </c>
      <c r="M77" s="48">
        <v>3500</v>
      </c>
      <c r="N77" s="8">
        <v>731</v>
      </c>
      <c r="O77" s="8" t="s">
        <v>53</v>
      </c>
    </row>
    <row r="78" spans="1:15" ht="15" customHeight="1" x14ac:dyDescent="0.25">
      <c r="A78" s="8" t="s">
        <v>239</v>
      </c>
      <c r="B78" s="9">
        <v>45708</v>
      </c>
      <c r="C78" s="8" t="s">
        <v>60</v>
      </c>
      <c r="D78" s="8" t="s">
        <v>240</v>
      </c>
      <c r="E78" s="8">
        <v>35</v>
      </c>
      <c r="F78" s="8" t="s">
        <v>104</v>
      </c>
      <c r="G78" s="8" t="s">
        <v>42</v>
      </c>
      <c r="H78" s="48">
        <v>84000</v>
      </c>
      <c r="I78" s="8" t="s">
        <v>116</v>
      </c>
      <c r="J78" s="48">
        <v>4800</v>
      </c>
      <c r="K78" s="8" t="s">
        <v>57</v>
      </c>
      <c r="L78" s="48">
        <v>16000</v>
      </c>
      <c r="M78" s="48">
        <v>9000</v>
      </c>
      <c r="N78" s="8">
        <v>726</v>
      </c>
      <c r="O78" s="8" t="s">
        <v>45</v>
      </c>
    </row>
    <row r="79" spans="1:15" ht="15" customHeight="1" x14ac:dyDescent="0.25">
      <c r="A79" s="8" t="s">
        <v>241</v>
      </c>
      <c r="B79" s="9">
        <v>45709</v>
      </c>
      <c r="C79" s="8" t="s">
        <v>68</v>
      </c>
      <c r="D79" s="8" t="s">
        <v>242</v>
      </c>
      <c r="E79" s="8">
        <v>28</v>
      </c>
      <c r="F79" s="8"/>
      <c r="G79" s="8" t="s">
        <v>50</v>
      </c>
      <c r="H79" s="48">
        <v>55000</v>
      </c>
      <c r="I79" s="8" t="s">
        <v>96</v>
      </c>
      <c r="J79" s="48">
        <v>8300</v>
      </c>
      <c r="K79" s="8" t="s">
        <v>44</v>
      </c>
      <c r="L79" s="48">
        <v>8500</v>
      </c>
      <c r="M79" s="48"/>
      <c r="N79" s="8">
        <v>699</v>
      </c>
      <c r="O79" s="8" t="s">
        <v>58</v>
      </c>
    </row>
    <row r="80" spans="1:15" ht="15" customHeight="1" x14ac:dyDescent="0.25">
      <c r="A80" s="8" t="s">
        <v>243</v>
      </c>
      <c r="B80" s="9">
        <v>45710</v>
      </c>
      <c r="C80" s="8" t="s">
        <v>74</v>
      </c>
      <c r="D80" s="8" t="s">
        <v>244</v>
      </c>
      <c r="E80" s="8">
        <v>40</v>
      </c>
      <c r="F80" s="8" t="s">
        <v>124</v>
      </c>
      <c r="G80" s="8" t="s">
        <v>63</v>
      </c>
      <c r="H80" s="48">
        <v>134000</v>
      </c>
      <c r="I80" s="8" t="s">
        <v>100</v>
      </c>
      <c r="J80" s="48">
        <v>31000</v>
      </c>
      <c r="K80" s="8" t="s">
        <v>65</v>
      </c>
      <c r="L80" s="48">
        <v>39000</v>
      </c>
      <c r="M80" s="48">
        <v>17000</v>
      </c>
      <c r="N80" s="8">
        <v>803</v>
      </c>
      <c r="O80" s="8" t="s">
        <v>66</v>
      </c>
    </row>
    <row r="81" spans="1:15" ht="15" customHeight="1" x14ac:dyDescent="0.25">
      <c r="A81" s="8" t="s">
        <v>245</v>
      </c>
      <c r="B81" s="9">
        <v>45711</v>
      </c>
      <c r="C81" s="8" t="s">
        <v>79</v>
      </c>
      <c r="D81" s="8" t="s">
        <v>246</v>
      </c>
      <c r="E81" s="8">
        <v>31</v>
      </c>
      <c r="F81" s="8" t="s">
        <v>49</v>
      </c>
      <c r="G81" s="8" t="s">
        <v>42</v>
      </c>
      <c r="H81" s="48">
        <v>76000</v>
      </c>
      <c r="I81" s="8" t="s">
        <v>51</v>
      </c>
      <c r="J81" s="48">
        <v>6800</v>
      </c>
      <c r="K81" s="8" t="s">
        <v>52</v>
      </c>
      <c r="L81" s="48">
        <v>14000</v>
      </c>
      <c r="M81" s="48">
        <v>4000</v>
      </c>
      <c r="N81" s="8">
        <v>739</v>
      </c>
      <c r="O81" s="8" t="s">
        <v>53</v>
      </c>
    </row>
    <row r="82" spans="1:15" ht="15" customHeight="1" x14ac:dyDescent="0.25">
      <c r="A82" s="8" t="s">
        <v>247</v>
      </c>
      <c r="B82" s="9">
        <v>45712</v>
      </c>
      <c r="C82" s="8" t="s">
        <v>84</v>
      </c>
      <c r="D82" s="8" t="s">
        <v>248</v>
      </c>
      <c r="E82" s="8">
        <v>27</v>
      </c>
      <c r="F82" s="8" t="s">
        <v>41</v>
      </c>
      <c r="G82" s="8" t="s">
        <v>42</v>
      </c>
      <c r="H82" s="48">
        <v>61000</v>
      </c>
      <c r="I82" s="8" t="s">
        <v>43</v>
      </c>
      <c r="J82" s="48">
        <v>17500</v>
      </c>
      <c r="K82" s="8" t="s">
        <v>44</v>
      </c>
      <c r="L82" s="48">
        <v>10000</v>
      </c>
      <c r="M82" s="48">
        <v>3500</v>
      </c>
      <c r="N82" s="8">
        <v>714</v>
      </c>
      <c r="O82" s="8" t="s">
        <v>45</v>
      </c>
    </row>
    <row r="83" spans="1:15" ht="15" customHeight="1" x14ac:dyDescent="0.25">
      <c r="A83" s="8" t="s">
        <v>249</v>
      </c>
      <c r="B83" s="9">
        <v>45713</v>
      </c>
      <c r="C83" s="8" t="s">
        <v>89</v>
      </c>
      <c r="D83" s="8" t="s">
        <v>250</v>
      </c>
      <c r="E83" s="8">
        <v>33</v>
      </c>
      <c r="F83" s="8" t="s">
        <v>104</v>
      </c>
      <c r="G83" s="8" t="s">
        <v>42</v>
      </c>
      <c r="H83" s="48">
        <v>85000</v>
      </c>
      <c r="I83" s="8" t="s">
        <v>77</v>
      </c>
      <c r="J83" s="48">
        <v>5200</v>
      </c>
      <c r="K83" s="8" t="s">
        <v>65</v>
      </c>
      <c r="L83" s="48">
        <v>18000</v>
      </c>
      <c r="M83" s="48">
        <v>8000</v>
      </c>
      <c r="N83" s="8">
        <v>748</v>
      </c>
      <c r="O83" s="8" t="s">
        <v>53</v>
      </c>
    </row>
    <row r="84" spans="1:15" ht="15" customHeight="1" x14ac:dyDescent="0.25">
      <c r="A84" s="8" t="s">
        <v>251</v>
      </c>
      <c r="B84" s="9">
        <v>45714</v>
      </c>
      <c r="C84" s="8" t="s">
        <v>93</v>
      </c>
      <c r="D84" s="8" t="s">
        <v>252</v>
      </c>
      <c r="E84" s="8">
        <v>24</v>
      </c>
      <c r="F84" s="8" t="s">
        <v>41</v>
      </c>
      <c r="G84" s="8" t="s">
        <v>86</v>
      </c>
      <c r="H84" s="48">
        <v>27000</v>
      </c>
      <c r="I84" s="8" t="s">
        <v>105</v>
      </c>
      <c r="J84" s="48">
        <v>3900</v>
      </c>
      <c r="K84" s="8" t="s">
        <v>57</v>
      </c>
      <c r="L84" s="48">
        <v>2500</v>
      </c>
      <c r="M84" s="48"/>
      <c r="N84" s="8">
        <v>671</v>
      </c>
      <c r="O84" s="8" t="s">
        <v>58</v>
      </c>
    </row>
    <row r="85" spans="1:15" ht="15" customHeight="1" x14ac:dyDescent="0.25">
      <c r="A85" s="8" t="s">
        <v>253</v>
      </c>
      <c r="B85" s="9">
        <v>45715</v>
      </c>
      <c r="C85" s="8" t="s">
        <v>98</v>
      </c>
      <c r="D85" s="8" t="s">
        <v>254</v>
      </c>
      <c r="E85" s="8">
        <v>39</v>
      </c>
      <c r="F85" s="8" t="s">
        <v>119</v>
      </c>
      <c r="G85" s="8"/>
      <c r="H85" s="48">
        <v>126000</v>
      </c>
      <c r="I85" s="8" t="s">
        <v>139</v>
      </c>
      <c r="J85" s="48">
        <v>11200</v>
      </c>
      <c r="K85" s="8" t="s">
        <v>52</v>
      </c>
      <c r="L85" s="48">
        <v>32000</v>
      </c>
      <c r="M85" s="48">
        <v>15000</v>
      </c>
      <c r="N85" s="8">
        <v>791</v>
      </c>
      <c r="O85" s="8" t="s">
        <v>66</v>
      </c>
    </row>
    <row r="86" spans="1:15" ht="15" customHeight="1" x14ac:dyDescent="0.25">
      <c r="A86" s="8" t="s">
        <v>255</v>
      </c>
      <c r="B86" s="9">
        <v>45716</v>
      </c>
      <c r="C86" s="8" t="s">
        <v>102</v>
      </c>
      <c r="D86" s="8" t="s">
        <v>256</v>
      </c>
      <c r="E86" s="8">
        <v>29</v>
      </c>
      <c r="F86" s="8" t="s">
        <v>95</v>
      </c>
      <c r="G86" s="8" t="s">
        <v>42</v>
      </c>
      <c r="H86" s="48">
        <v>68000</v>
      </c>
      <c r="I86" s="8" t="s">
        <v>96</v>
      </c>
      <c r="J86" s="48">
        <v>7200</v>
      </c>
      <c r="K86" s="8" t="s">
        <v>44</v>
      </c>
      <c r="L86" s="48">
        <v>12000</v>
      </c>
      <c r="M86" s="48">
        <v>2500</v>
      </c>
      <c r="N86" s="8">
        <v>733</v>
      </c>
      <c r="O86" s="8" t="s">
        <v>53</v>
      </c>
    </row>
    <row r="87" spans="1:15" ht="15" customHeight="1" x14ac:dyDescent="0.25">
      <c r="A87" s="8" t="s">
        <v>257</v>
      </c>
      <c r="B87" s="9">
        <v>45717</v>
      </c>
      <c r="C87" s="8" t="s">
        <v>39</v>
      </c>
      <c r="D87" s="8" t="s">
        <v>258</v>
      </c>
      <c r="E87" s="8">
        <v>36</v>
      </c>
      <c r="F87" s="8" t="s">
        <v>41</v>
      </c>
      <c r="G87" s="8" t="s">
        <v>42</v>
      </c>
      <c r="H87" s="48">
        <v>79000</v>
      </c>
      <c r="I87" s="8" t="s">
        <v>64</v>
      </c>
      <c r="J87" s="48">
        <v>6100</v>
      </c>
      <c r="K87" s="8" t="s">
        <v>52</v>
      </c>
      <c r="L87" s="48">
        <v>17000</v>
      </c>
      <c r="M87" s="48">
        <v>6500</v>
      </c>
      <c r="N87" s="8">
        <v>742</v>
      </c>
      <c r="O87" s="8" t="s">
        <v>53</v>
      </c>
    </row>
    <row r="88" spans="1:15" ht="15" customHeight="1" x14ac:dyDescent="0.25">
      <c r="A88" s="8" t="s">
        <v>259</v>
      </c>
      <c r="B88" s="9">
        <v>45718</v>
      </c>
      <c r="C88" s="8" t="s">
        <v>47</v>
      </c>
      <c r="D88" s="8" t="s">
        <v>260</v>
      </c>
      <c r="E88" s="8">
        <v>25</v>
      </c>
      <c r="F88" s="8" t="s">
        <v>76</v>
      </c>
      <c r="G88" s="8" t="s">
        <v>50</v>
      </c>
      <c r="H88" s="48">
        <v>49000</v>
      </c>
      <c r="I88" s="8" t="s">
        <v>71</v>
      </c>
      <c r="J88" s="48">
        <v>4700</v>
      </c>
      <c r="K88" s="8"/>
      <c r="L88" s="48">
        <v>6000</v>
      </c>
      <c r="M88" s="48">
        <v>8000</v>
      </c>
      <c r="N88" s="8">
        <v>687</v>
      </c>
      <c r="O88" s="8" t="s">
        <v>58</v>
      </c>
    </row>
    <row r="89" spans="1:15" ht="15" customHeight="1" x14ac:dyDescent="0.25">
      <c r="A89" s="8" t="s">
        <v>261</v>
      </c>
      <c r="B89" s="9">
        <v>45719</v>
      </c>
      <c r="C89" s="8" t="s">
        <v>55</v>
      </c>
      <c r="D89" s="8" t="s">
        <v>262</v>
      </c>
      <c r="E89" s="8">
        <v>42</v>
      </c>
      <c r="F89" s="8" t="s">
        <v>127</v>
      </c>
      <c r="G89" s="8" t="s">
        <v>63</v>
      </c>
      <c r="H89" s="48">
        <v>146000</v>
      </c>
      <c r="I89" s="8" t="s">
        <v>100</v>
      </c>
      <c r="J89" s="48">
        <v>39000</v>
      </c>
      <c r="K89" s="8" t="s">
        <v>82</v>
      </c>
      <c r="L89" s="48">
        <v>47000</v>
      </c>
      <c r="M89" s="48">
        <v>21000</v>
      </c>
      <c r="N89" s="8">
        <v>809</v>
      </c>
      <c r="O89" s="8" t="s">
        <v>66</v>
      </c>
    </row>
    <row r="90" spans="1:15" ht="15" customHeight="1" x14ac:dyDescent="0.25">
      <c r="A90" s="8" t="s">
        <v>263</v>
      </c>
      <c r="B90" s="9">
        <v>45720</v>
      </c>
      <c r="C90" s="8" t="s">
        <v>60</v>
      </c>
      <c r="D90" s="8" t="s">
        <v>264</v>
      </c>
      <c r="E90" s="8">
        <v>31</v>
      </c>
      <c r="F90" s="8" t="s">
        <v>41</v>
      </c>
      <c r="G90" s="8" t="s">
        <v>42</v>
      </c>
      <c r="H90" s="48">
        <v>71000</v>
      </c>
      <c r="I90" s="8" t="s">
        <v>77</v>
      </c>
      <c r="J90" s="48">
        <v>4500</v>
      </c>
      <c r="K90" s="8" t="s">
        <v>44</v>
      </c>
      <c r="L90" s="48">
        <v>14000</v>
      </c>
      <c r="M90" s="48">
        <v>3500</v>
      </c>
      <c r="N90" s="8">
        <v>737</v>
      </c>
      <c r="O90" s="8" t="s">
        <v>53</v>
      </c>
    </row>
    <row r="91" spans="1:15" ht="15" customHeight="1" x14ac:dyDescent="0.25">
      <c r="A91" s="8" t="s">
        <v>265</v>
      </c>
      <c r="B91" s="9">
        <v>45721</v>
      </c>
      <c r="C91" s="8" t="s">
        <v>68</v>
      </c>
      <c r="D91" s="8" t="s">
        <v>266</v>
      </c>
      <c r="E91" s="8">
        <v>28</v>
      </c>
      <c r="F91" s="8"/>
      <c r="G91" s="8" t="s">
        <v>42</v>
      </c>
      <c r="H91" s="48">
        <v>64000</v>
      </c>
      <c r="I91" s="8" t="s">
        <v>116</v>
      </c>
      <c r="J91" s="48">
        <v>5100</v>
      </c>
      <c r="K91" s="8" t="s">
        <v>57</v>
      </c>
      <c r="L91" s="48">
        <v>11000</v>
      </c>
      <c r="M91" s="48">
        <v>4000</v>
      </c>
      <c r="N91" s="8">
        <v>716</v>
      </c>
      <c r="O91" s="8" t="s">
        <v>45</v>
      </c>
    </row>
    <row r="92" spans="1:15" ht="15" customHeight="1" x14ac:dyDescent="0.25">
      <c r="A92" s="8" t="s">
        <v>267</v>
      </c>
      <c r="B92" s="9">
        <v>45722</v>
      </c>
      <c r="C92" s="8" t="s">
        <v>74</v>
      </c>
      <c r="D92" s="8" t="s">
        <v>268</v>
      </c>
      <c r="E92" s="8">
        <v>27</v>
      </c>
      <c r="F92" s="8" t="s">
        <v>41</v>
      </c>
      <c r="G92" s="8" t="s">
        <v>50</v>
      </c>
      <c r="H92" s="48">
        <v>54000</v>
      </c>
      <c r="I92" s="8" t="s">
        <v>105</v>
      </c>
      <c r="J92" s="48">
        <v>5900</v>
      </c>
      <c r="K92" s="8" t="s">
        <v>52</v>
      </c>
      <c r="L92" s="48">
        <v>7000</v>
      </c>
      <c r="M92" s="48"/>
      <c r="N92" s="8">
        <v>697</v>
      </c>
      <c r="O92" s="8" t="s">
        <v>58</v>
      </c>
    </row>
    <row r="93" spans="1:15" ht="15" customHeight="1" x14ac:dyDescent="0.25">
      <c r="A93" s="8" t="s">
        <v>269</v>
      </c>
      <c r="B93" s="9">
        <v>45723</v>
      </c>
      <c r="C93" s="8" t="s">
        <v>79</v>
      </c>
      <c r="D93" s="8" t="s">
        <v>270</v>
      </c>
      <c r="E93" s="8">
        <v>44</v>
      </c>
      <c r="F93" s="8" t="s">
        <v>49</v>
      </c>
      <c r="G93" s="8" t="s">
        <v>63</v>
      </c>
      <c r="H93" s="48">
        <v>152000</v>
      </c>
      <c r="I93" s="8" t="s">
        <v>43</v>
      </c>
      <c r="J93" s="48">
        <v>36000</v>
      </c>
      <c r="K93" s="8" t="s">
        <v>65</v>
      </c>
      <c r="L93" s="48">
        <v>52000</v>
      </c>
      <c r="M93" s="48">
        <v>24000</v>
      </c>
      <c r="N93" s="8">
        <v>818</v>
      </c>
      <c r="O93" s="8" t="s">
        <v>66</v>
      </c>
    </row>
    <row r="94" spans="1:15" ht="15" customHeight="1" x14ac:dyDescent="0.25">
      <c r="A94" s="8" t="s">
        <v>271</v>
      </c>
      <c r="B94" s="9">
        <v>45724</v>
      </c>
      <c r="C94" s="8" t="s">
        <v>84</v>
      </c>
      <c r="D94" s="8" t="s">
        <v>272</v>
      </c>
      <c r="E94" s="8">
        <v>30</v>
      </c>
      <c r="F94" s="8" t="s">
        <v>104</v>
      </c>
      <c r="G94" s="8"/>
      <c r="H94" s="48">
        <v>73000</v>
      </c>
      <c r="I94" s="8" t="s">
        <v>96</v>
      </c>
      <c r="J94" s="48">
        <v>8400</v>
      </c>
      <c r="K94" s="8" t="s">
        <v>44</v>
      </c>
      <c r="L94" s="48">
        <v>13000</v>
      </c>
      <c r="M94" s="48">
        <v>5000</v>
      </c>
      <c r="N94" s="8">
        <v>729</v>
      </c>
      <c r="O94" s="8" t="s">
        <v>53</v>
      </c>
    </row>
    <row r="95" spans="1:15" ht="15" customHeight="1" x14ac:dyDescent="0.25">
      <c r="A95" s="8" t="s">
        <v>273</v>
      </c>
      <c r="B95" s="9">
        <v>45725</v>
      </c>
      <c r="C95" s="8" t="s">
        <v>89</v>
      </c>
      <c r="D95" s="8" t="s">
        <v>274</v>
      </c>
      <c r="E95" s="8">
        <v>35</v>
      </c>
      <c r="F95" s="8" t="s">
        <v>41</v>
      </c>
      <c r="G95" s="8" t="s">
        <v>42</v>
      </c>
      <c r="H95" s="48">
        <v>82000</v>
      </c>
      <c r="I95" s="8" t="s">
        <v>139</v>
      </c>
      <c r="J95" s="48">
        <v>9800</v>
      </c>
      <c r="K95" s="8" t="s">
        <v>52</v>
      </c>
      <c r="L95" s="48">
        <v>19000</v>
      </c>
      <c r="M95" s="48">
        <v>9000</v>
      </c>
      <c r="N95" s="8">
        <v>745</v>
      </c>
      <c r="O95" s="8" t="s">
        <v>53</v>
      </c>
    </row>
    <row r="96" spans="1:15" ht="15" customHeight="1" x14ac:dyDescent="0.25">
      <c r="A96" s="8" t="s">
        <v>275</v>
      </c>
      <c r="B96" s="9">
        <v>45726</v>
      </c>
      <c r="C96" s="8" t="s">
        <v>93</v>
      </c>
      <c r="D96" s="8" t="s">
        <v>276</v>
      </c>
      <c r="E96" s="8">
        <v>26</v>
      </c>
      <c r="F96" s="8" t="s">
        <v>91</v>
      </c>
      <c r="G96" s="8" t="s">
        <v>50</v>
      </c>
      <c r="H96" s="48">
        <v>51000</v>
      </c>
      <c r="I96" s="8"/>
      <c r="J96" s="48">
        <v>4300</v>
      </c>
      <c r="K96" s="8" t="s">
        <v>44</v>
      </c>
      <c r="L96" s="48">
        <v>6500</v>
      </c>
      <c r="M96" s="48">
        <v>7000</v>
      </c>
      <c r="N96" s="8">
        <v>692</v>
      </c>
      <c r="O96" s="8" t="s">
        <v>58</v>
      </c>
    </row>
    <row r="97" spans="1:15" ht="15" customHeight="1" x14ac:dyDescent="0.25">
      <c r="A97" s="8" t="s">
        <v>277</v>
      </c>
      <c r="B97" s="9">
        <v>45727</v>
      </c>
      <c r="C97" s="8" t="s">
        <v>98</v>
      </c>
      <c r="D97" s="8" t="s">
        <v>278</v>
      </c>
      <c r="E97" s="8">
        <v>41</v>
      </c>
      <c r="F97" s="8" t="s">
        <v>124</v>
      </c>
      <c r="G97" s="8" t="s">
        <v>63</v>
      </c>
      <c r="H97" s="48">
        <v>129000</v>
      </c>
      <c r="I97" s="8" t="s">
        <v>100</v>
      </c>
      <c r="J97" s="48">
        <v>30000</v>
      </c>
      <c r="K97" s="8" t="s">
        <v>82</v>
      </c>
      <c r="L97" s="48">
        <v>36000</v>
      </c>
      <c r="M97" s="48">
        <v>16000</v>
      </c>
      <c r="N97" s="8">
        <v>796</v>
      </c>
      <c r="O97" s="8" t="s">
        <v>66</v>
      </c>
    </row>
    <row r="98" spans="1:15" ht="15" customHeight="1" x14ac:dyDescent="0.25">
      <c r="A98" s="8" t="s">
        <v>279</v>
      </c>
      <c r="B98" s="9">
        <v>45728</v>
      </c>
      <c r="C98" s="8" t="s">
        <v>102</v>
      </c>
      <c r="D98" s="8" t="s">
        <v>280</v>
      </c>
      <c r="E98" s="8">
        <v>32</v>
      </c>
      <c r="F98" s="8" t="s">
        <v>41</v>
      </c>
      <c r="G98" s="8" t="s">
        <v>42</v>
      </c>
      <c r="H98" s="48">
        <v>69000</v>
      </c>
      <c r="I98" s="8" t="s">
        <v>51</v>
      </c>
      <c r="J98" s="48">
        <v>6700</v>
      </c>
      <c r="K98" s="8" t="s">
        <v>52</v>
      </c>
      <c r="L98" s="48">
        <v>12500</v>
      </c>
      <c r="M98" s="48">
        <v>3000</v>
      </c>
      <c r="N98" s="8">
        <v>734</v>
      </c>
      <c r="O98" s="8" t="s">
        <v>53</v>
      </c>
    </row>
    <row r="99" spans="1:15" ht="15" customHeight="1" x14ac:dyDescent="0.25">
      <c r="A99" s="8" t="s">
        <v>281</v>
      </c>
      <c r="B99" s="9">
        <v>45729</v>
      </c>
      <c r="C99" s="8" t="s">
        <v>39</v>
      </c>
      <c r="D99" s="8" t="s">
        <v>282</v>
      </c>
      <c r="E99" s="8">
        <v>29</v>
      </c>
      <c r="F99" s="8" t="s">
        <v>104</v>
      </c>
      <c r="G99" s="8" t="s">
        <v>42</v>
      </c>
      <c r="H99" s="48">
        <v>66000</v>
      </c>
      <c r="I99" s="8" t="s">
        <v>43</v>
      </c>
      <c r="J99" s="48">
        <v>20000</v>
      </c>
      <c r="K99" s="8" t="s">
        <v>44</v>
      </c>
      <c r="L99" s="48">
        <v>9000</v>
      </c>
      <c r="M99" s="48">
        <v>4500</v>
      </c>
      <c r="N99" s="8">
        <v>710</v>
      </c>
      <c r="O99" s="8" t="s">
        <v>45</v>
      </c>
    </row>
    <row r="100" spans="1:15" ht="15" customHeight="1" x14ac:dyDescent="0.25">
      <c r="A100" s="8" t="s">
        <v>283</v>
      </c>
      <c r="B100" s="9">
        <v>45730</v>
      </c>
      <c r="C100" s="8" t="s">
        <v>47</v>
      </c>
      <c r="D100" s="8" t="s">
        <v>284</v>
      </c>
      <c r="E100" s="8">
        <v>24</v>
      </c>
      <c r="F100" s="8"/>
      <c r="G100" s="8"/>
      <c r="H100" s="48">
        <v>32000</v>
      </c>
      <c r="I100" s="8"/>
      <c r="J100" s="48">
        <v>3900</v>
      </c>
      <c r="K100" s="8"/>
      <c r="L100" s="48">
        <v>3500</v>
      </c>
      <c r="M100" s="48"/>
      <c r="N100" s="8">
        <v>678</v>
      </c>
      <c r="O100" s="8" t="s">
        <v>58</v>
      </c>
    </row>
  </sheetData>
  <mergeCells count="1">
    <mergeCell ref="A1:N1"/>
  </mergeCells>
  <hyperlinks>
    <hyperlink ref="O1" location="'Welcome Page'!A1" display="Go to Welcome Page"/>
  </hyperlink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"/>
  <sheetViews>
    <sheetView zoomScale="87" zoomScaleNormal="87" workbookViewId="0">
      <selection activeCell="S8" sqref="S8"/>
    </sheetView>
  </sheetViews>
  <sheetFormatPr defaultColWidth="8.7109375" defaultRowHeight="15" x14ac:dyDescent="0.25"/>
  <cols>
    <col min="2" max="2" width="13.28515625" style="1" customWidth="1"/>
    <col min="3" max="3" width="10" style="1" customWidth="1"/>
    <col min="4" max="4" width="15.140625" style="1" customWidth="1"/>
    <col min="5" max="5" width="4.85546875" style="1" customWidth="1"/>
    <col min="6" max="6" width="11.140625" style="1" customWidth="1"/>
    <col min="7" max="7" width="15.140625" style="1" customWidth="1"/>
    <col min="8" max="8" width="14.28515625" style="1" customWidth="1"/>
    <col min="9" max="9" width="16.5703125" style="1" customWidth="1"/>
    <col min="10" max="10" width="15.140625" style="1" customWidth="1"/>
    <col min="11" max="11" width="15.5703125" style="1" customWidth="1"/>
    <col min="12" max="12" width="8.140625" style="1" customWidth="1"/>
    <col min="13" max="13" width="11.28515625" style="1" customWidth="1"/>
    <col min="14" max="14" width="11.7109375" style="1" customWidth="1"/>
    <col min="15" max="15" width="16.28515625" style="1" customWidth="1"/>
    <col min="16" max="16" width="14" style="1" customWidth="1"/>
    <col min="17" max="17" width="16.85546875" style="1" customWidth="1"/>
    <col min="18" max="18" width="20.28515625" style="1" customWidth="1"/>
    <col min="19" max="19" width="12.42578125" style="1" customWidth="1"/>
    <col min="20" max="20" width="19" style="1" customWidth="1"/>
  </cols>
  <sheetData>
    <row r="1" spans="1:20" ht="26.25" customHeight="1" x14ac:dyDescent="0.35">
      <c r="A1" s="150" t="s">
        <v>285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2"/>
      <c r="P1" s="38"/>
      <c r="Q1" s="38"/>
      <c r="R1" s="38"/>
      <c r="S1" s="38"/>
      <c r="T1" s="38"/>
    </row>
    <row r="2" spans="1:20" ht="15" customHeight="1" x14ac:dyDescent="0.25">
      <c r="A2" s="14" t="s">
        <v>23</v>
      </c>
      <c r="B2" s="14" t="s">
        <v>24</v>
      </c>
      <c r="C2" s="14" t="s">
        <v>25</v>
      </c>
      <c r="D2" s="14" t="s">
        <v>26</v>
      </c>
      <c r="E2" s="14" t="s">
        <v>27</v>
      </c>
      <c r="F2" s="14" t="s">
        <v>28</v>
      </c>
      <c r="G2" s="14" t="s">
        <v>29</v>
      </c>
      <c r="H2" s="14" t="s">
        <v>30</v>
      </c>
      <c r="I2" s="14" t="s">
        <v>286</v>
      </c>
      <c r="J2" s="14" t="s">
        <v>32</v>
      </c>
      <c r="K2" s="14" t="s">
        <v>33</v>
      </c>
      <c r="L2" s="14" t="s">
        <v>34</v>
      </c>
      <c r="M2" s="14" t="s">
        <v>35</v>
      </c>
      <c r="N2" s="14" t="s">
        <v>36</v>
      </c>
      <c r="O2" s="14" t="s">
        <v>37</v>
      </c>
      <c r="P2" s="14" t="s">
        <v>287</v>
      </c>
      <c r="Q2" s="14" t="s">
        <v>288</v>
      </c>
      <c r="R2" s="14" t="s">
        <v>289</v>
      </c>
      <c r="S2" s="14" t="s">
        <v>290</v>
      </c>
      <c r="T2" s="14" t="s">
        <v>291</v>
      </c>
    </row>
    <row r="3" spans="1:20" ht="15" customHeight="1" x14ac:dyDescent="0.25">
      <c r="A3" s="8" t="s">
        <v>38</v>
      </c>
      <c r="B3" s="9">
        <v>45659</v>
      </c>
      <c r="C3" s="8" t="s">
        <v>39</v>
      </c>
      <c r="D3" s="8" t="s">
        <v>40</v>
      </c>
      <c r="E3" s="8">
        <v>29</v>
      </c>
      <c r="F3" s="8" t="s">
        <v>41</v>
      </c>
      <c r="G3" s="8" t="s">
        <v>42</v>
      </c>
      <c r="H3" s="48">
        <v>65000</v>
      </c>
      <c r="I3" s="8" t="s">
        <v>43</v>
      </c>
      <c r="J3" s="48">
        <v>18000</v>
      </c>
      <c r="K3" s="8" t="s">
        <v>44</v>
      </c>
      <c r="L3" s="48">
        <v>12000</v>
      </c>
      <c r="M3" s="48">
        <v>5000</v>
      </c>
      <c r="N3" s="8">
        <v>742</v>
      </c>
      <c r="O3" s="8" t="s">
        <v>45</v>
      </c>
      <c r="P3" s="15" t="str">
        <f t="shared" ref="P3:P34" si="0">IF(COUNTBLANK(F3)=0,F3,"Unknown")</f>
        <v>Kolkata</v>
      </c>
      <c r="Q3" s="15" t="str">
        <f t="shared" ref="Q3:Q34" si="1">IF(COUNTBLANK(G3)=0,G3,"Unknown")</f>
        <v>Salary</v>
      </c>
      <c r="R3" s="15" t="str">
        <f t="shared" ref="R3:R34" si="2">IF(COUNTBLANK(I3)=0,I3,"Unknown")</f>
        <v>Rent</v>
      </c>
      <c r="S3" s="15">
        <f t="shared" ref="S3:S34" si="3">IF(COUNTBLANK(M3)=0,M3,0)</f>
        <v>5000</v>
      </c>
      <c r="T3" s="15" t="str">
        <f t="shared" ref="T3:T34" si="4">IF(COUNTBLANK(K3)=0,K3,"Cash/UPI")</f>
        <v>UPI</v>
      </c>
    </row>
    <row r="4" spans="1:20" ht="15" customHeight="1" x14ac:dyDescent="0.25">
      <c r="A4" s="8" t="s">
        <v>46</v>
      </c>
      <c r="B4" s="9">
        <v>45660</v>
      </c>
      <c r="C4" s="8" t="s">
        <v>47</v>
      </c>
      <c r="D4" s="8" t="s">
        <v>48</v>
      </c>
      <c r="E4" s="8">
        <v>34</v>
      </c>
      <c r="F4" s="8" t="s">
        <v>49</v>
      </c>
      <c r="G4" s="8" t="s">
        <v>50</v>
      </c>
      <c r="H4" s="48">
        <v>72000</v>
      </c>
      <c r="I4" s="8" t="s">
        <v>51</v>
      </c>
      <c r="J4" s="48">
        <v>6500</v>
      </c>
      <c r="K4" s="8" t="s">
        <v>52</v>
      </c>
      <c r="L4" s="48">
        <v>15000</v>
      </c>
      <c r="M4" s="48"/>
      <c r="N4" s="8">
        <v>788</v>
      </c>
      <c r="O4" s="8" t="s">
        <v>53</v>
      </c>
      <c r="P4" s="15" t="str">
        <f t="shared" si="0"/>
        <v>Mumbai</v>
      </c>
      <c r="Q4" s="15" t="str">
        <f t="shared" si="1"/>
        <v>Freelancing</v>
      </c>
      <c r="R4" s="15" t="str">
        <f t="shared" si="2"/>
        <v>Groceries</v>
      </c>
      <c r="S4" s="15">
        <f t="shared" si="3"/>
        <v>0</v>
      </c>
      <c r="T4" s="15" t="str">
        <f t="shared" si="4"/>
        <v>Card</v>
      </c>
    </row>
    <row r="5" spans="1:20" ht="15" customHeight="1" x14ac:dyDescent="0.25">
      <c r="A5" s="8" t="s">
        <v>54</v>
      </c>
      <c r="B5" s="9">
        <v>45661</v>
      </c>
      <c r="C5" s="8" t="s">
        <v>55</v>
      </c>
      <c r="D5" s="8" t="s">
        <v>56</v>
      </c>
      <c r="E5" s="8">
        <v>26</v>
      </c>
      <c r="F5" s="8"/>
      <c r="G5" s="8" t="s">
        <v>42</v>
      </c>
      <c r="H5" s="48">
        <v>54000</v>
      </c>
      <c r="I5" s="8"/>
      <c r="J5" s="48">
        <v>3200</v>
      </c>
      <c r="K5" s="8" t="s">
        <v>57</v>
      </c>
      <c r="L5" s="48">
        <v>8000</v>
      </c>
      <c r="M5" s="48">
        <v>2500</v>
      </c>
      <c r="N5" s="8">
        <v>689</v>
      </c>
      <c r="O5" s="8" t="s">
        <v>58</v>
      </c>
      <c r="P5" s="15" t="str">
        <f t="shared" si="0"/>
        <v>Unknown</v>
      </c>
      <c r="Q5" s="15" t="str">
        <f t="shared" si="1"/>
        <v>Salary</v>
      </c>
      <c r="R5" s="15" t="str">
        <f t="shared" si="2"/>
        <v>Unknown</v>
      </c>
      <c r="S5" s="15">
        <f t="shared" si="3"/>
        <v>2500</v>
      </c>
      <c r="T5" s="15" t="str">
        <f t="shared" si="4"/>
        <v>Cash</v>
      </c>
    </row>
    <row r="6" spans="1:20" ht="15" customHeight="1" x14ac:dyDescent="0.25">
      <c r="A6" s="8" t="s">
        <v>59</v>
      </c>
      <c r="B6" s="9">
        <v>45662</v>
      </c>
      <c r="C6" s="8" t="s">
        <v>60</v>
      </c>
      <c r="D6" s="8" t="s">
        <v>61</v>
      </c>
      <c r="E6" s="8">
        <v>31</v>
      </c>
      <c r="F6" s="8" t="s">
        <v>62</v>
      </c>
      <c r="G6" s="8" t="s">
        <v>63</v>
      </c>
      <c r="H6" s="48">
        <v>98000</v>
      </c>
      <c r="I6" s="8" t="s">
        <v>64</v>
      </c>
      <c r="J6" s="48">
        <v>5400</v>
      </c>
      <c r="K6" s="8" t="s">
        <v>65</v>
      </c>
      <c r="L6" s="48">
        <v>25000</v>
      </c>
      <c r="M6" s="48">
        <v>8000</v>
      </c>
      <c r="N6" s="8">
        <v>801</v>
      </c>
      <c r="O6" s="8" t="s">
        <v>66</v>
      </c>
      <c r="P6" s="15" t="str">
        <f t="shared" si="0"/>
        <v>Bangalore</v>
      </c>
      <c r="Q6" s="15" t="str">
        <f t="shared" si="1"/>
        <v>Business</v>
      </c>
      <c r="R6" s="15" t="str">
        <f t="shared" si="2"/>
        <v>Utilities</v>
      </c>
      <c r="S6" s="15">
        <f t="shared" si="3"/>
        <v>8000</v>
      </c>
      <c r="T6" s="15" t="str">
        <f t="shared" si="4"/>
        <v>NetBanking</v>
      </c>
    </row>
    <row r="7" spans="1:20" ht="15" customHeight="1" x14ac:dyDescent="0.25">
      <c r="A7" s="8" t="s">
        <v>67</v>
      </c>
      <c r="B7" s="9">
        <v>45663</v>
      </c>
      <c r="C7" s="8" t="s">
        <v>68</v>
      </c>
      <c r="D7" s="8" t="s">
        <v>69</v>
      </c>
      <c r="E7" s="8">
        <v>38</v>
      </c>
      <c r="F7" s="8" t="s">
        <v>70</v>
      </c>
      <c r="G7" s="8" t="s">
        <v>42</v>
      </c>
      <c r="H7" s="48">
        <v>85000</v>
      </c>
      <c r="I7" s="8" t="s">
        <v>71</v>
      </c>
      <c r="J7" s="48">
        <v>7600</v>
      </c>
      <c r="K7" s="8" t="s">
        <v>52</v>
      </c>
      <c r="L7" s="48">
        <v>10000</v>
      </c>
      <c r="M7" s="48">
        <v>12000</v>
      </c>
      <c r="N7" s="8">
        <v>655</v>
      </c>
      <c r="O7" s="8" t="s">
        <v>72</v>
      </c>
      <c r="P7" s="15" t="str">
        <f t="shared" si="0"/>
        <v>Hyderabad</v>
      </c>
      <c r="Q7" s="15" t="str">
        <f t="shared" si="1"/>
        <v>Salary</v>
      </c>
      <c r="R7" s="15" t="str">
        <f t="shared" si="2"/>
        <v>Entertainment</v>
      </c>
      <c r="S7" s="15">
        <f t="shared" si="3"/>
        <v>12000</v>
      </c>
      <c r="T7" s="15" t="str">
        <f t="shared" si="4"/>
        <v>Card</v>
      </c>
    </row>
    <row r="8" spans="1:20" ht="15" customHeight="1" x14ac:dyDescent="0.25">
      <c r="A8" s="8" t="s">
        <v>73</v>
      </c>
      <c r="B8" s="9">
        <v>45664</v>
      </c>
      <c r="C8" s="8" t="s">
        <v>74</v>
      </c>
      <c r="D8" s="8" t="s">
        <v>75</v>
      </c>
      <c r="E8" s="8">
        <v>27</v>
      </c>
      <c r="F8" s="8" t="s">
        <v>76</v>
      </c>
      <c r="G8" s="8" t="str">
        <f>IF(COUNTBLANK(G3)=0,G3,"UKNOWN")</f>
        <v>Salary</v>
      </c>
      <c r="H8" s="48">
        <v>61000</v>
      </c>
      <c r="I8" s="8" t="s">
        <v>77</v>
      </c>
      <c r="J8" s="48">
        <v>2400</v>
      </c>
      <c r="K8" s="8" t="s">
        <v>44</v>
      </c>
      <c r="L8" s="48">
        <v>17000</v>
      </c>
      <c r="M8" s="48"/>
      <c r="N8" s="8">
        <v>771</v>
      </c>
      <c r="O8" s="8" t="s">
        <v>53</v>
      </c>
      <c r="P8" s="15" t="str">
        <f t="shared" si="0"/>
        <v>Pune</v>
      </c>
      <c r="Q8" s="15" t="str">
        <f t="shared" si="1"/>
        <v>Salary</v>
      </c>
      <c r="R8" s="15" t="str">
        <f t="shared" si="2"/>
        <v>Healthcare</v>
      </c>
      <c r="S8" s="15">
        <f t="shared" si="3"/>
        <v>0</v>
      </c>
      <c r="T8" s="15" t="str">
        <f t="shared" si="4"/>
        <v>UPI</v>
      </c>
    </row>
    <row r="9" spans="1:20" ht="15" customHeight="1" x14ac:dyDescent="0.25">
      <c r="A9" s="8" t="s">
        <v>78</v>
      </c>
      <c r="B9" s="9">
        <v>45665</v>
      </c>
      <c r="C9" s="8" t="s">
        <v>79</v>
      </c>
      <c r="D9" s="8" t="s">
        <v>80</v>
      </c>
      <c r="E9" s="8">
        <v>42</v>
      </c>
      <c r="F9" s="8" t="s">
        <v>81</v>
      </c>
      <c r="G9" s="8" t="s">
        <v>63</v>
      </c>
      <c r="H9" s="48">
        <v>120000</v>
      </c>
      <c r="I9" s="8" t="s">
        <v>43</v>
      </c>
      <c r="J9" s="48">
        <v>25000</v>
      </c>
      <c r="K9" s="8" t="s">
        <v>82</v>
      </c>
      <c r="L9" s="48">
        <v>35000</v>
      </c>
      <c r="M9" s="48">
        <v>18000</v>
      </c>
      <c r="N9" s="8">
        <v>720</v>
      </c>
      <c r="O9" s="8" t="s">
        <v>45</v>
      </c>
      <c r="P9" s="15" t="str">
        <f t="shared" si="0"/>
        <v>Chennai</v>
      </c>
      <c r="Q9" s="15" t="str">
        <f t="shared" si="1"/>
        <v>Business</v>
      </c>
      <c r="R9" s="15" t="str">
        <f t="shared" si="2"/>
        <v>Rent</v>
      </c>
      <c r="S9" s="15">
        <f t="shared" si="3"/>
        <v>18000</v>
      </c>
      <c r="T9" s="15" t="str">
        <f t="shared" si="4"/>
        <v>Cheque</v>
      </c>
    </row>
    <row r="10" spans="1:20" ht="15" customHeight="1" x14ac:dyDescent="0.25">
      <c r="A10" s="8" t="s">
        <v>83</v>
      </c>
      <c r="B10" s="9">
        <v>45666</v>
      </c>
      <c r="C10" s="8" t="s">
        <v>84</v>
      </c>
      <c r="D10" s="8" t="s">
        <v>85</v>
      </c>
      <c r="E10" s="8">
        <v>24</v>
      </c>
      <c r="F10" s="8" t="s">
        <v>41</v>
      </c>
      <c r="G10" s="8" t="s">
        <v>86</v>
      </c>
      <c r="H10" s="48">
        <v>28000</v>
      </c>
      <c r="I10" s="8" t="s">
        <v>87</v>
      </c>
      <c r="J10" s="48">
        <v>4500</v>
      </c>
      <c r="K10" s="8" t="s">
        <v>44</v>
      </c>
      <c r="L10" s="48">
        <v>5000</v>
      </c>
      <c r="M10" s="48"/>
      <c r="N10" s="8">
        <v>690</v>
      </c>
      <c r="O10" s="8" t="s">
        <v>58</v>
      </c>
      <c r="P10" s="15" t="str">
        <f t="shared" si="0"/>
        <v>Kolkata</v>
      </c>
      <c r="Q10" s="15" t="str">
        <f t="shared" si="1"/>
        <v>Internship</v>
      </c>
      <c r="R10" s="15" t="str">
        <f t="shared" si="2"/>
        <v>Education</v>
      </c>
      <c r="S10" s="15">
        <f t="shared" si="3"/>
        <v>0</v>
      </c>
      <c r="T10" s="15" t="str">
        <f t="shared" si="4"/>
        <v>UPI</v>
      </c>
    </row>
    <row r="11" spans="1:20" ht="15" customHeight="1" x14ac:dyDescent="0.25">
      <c r="A11" s="8" t="s">
        <v>88</v>
      </c>
      <c r="B11" s="9">
        <v>45667</v>
      </c>
      <c r="C11" s="8" t="s">
        <v>89</v>
      </c>
      <c r="D11" s="8" t="s">
        <v>90</v>
      </c>
      <c r="E11" s="8">
        <v>36</v>
      </c>
      <c r="F11" s="8" t="s">
        <v>91</v>
      </c>
      <c r="G11" s="8" t="s">
        <v>42</v>
      </c>
      <c r="H11" s="48">
        <v>76000</v>
      </c>
      <c r="I11" s="8"/>
      <c r="J11" s="48">
        <v>8200</v>
      </c>
      <c r="K11" s="8" t="s">
        <v>52</v>
      </c>
      <c r="L11" s="48">
        <v>14000</v>
      </c>
      <c r="M11" s="48">
        <v>7000</v>
      </c>
      <c r="N11" s="8">
        <v>745</v>
      </c>
      <c r="O11" s="8" t="s">
        <v>45</v>
      </c>
      <c r="P11" s="15" t="str">
        <f t="shared" si="0"/>
        <v>Kochi</v>
      </c>
      <c r="Q11" s="15" t="str">
        <f t="shared" si="1"/>
        <v>Salary</v>
      </c>
      <c r="R11" s="15" t="str">
        <f t="shared" si="2"/>
        <v>Unknown</v>
      </c>
      <c r="S11" s="15">
        <f t="shared" si="3"/>
        <v>7000</v>
      </c>
      <c r="T11" s="15" t="str">
        <f t="shared" si="4"/>
        <v>Card</v>
      </c>
    </row>
    <row r="12" spans="1:20" ht="15" customHeight="1" x14ac:dyDescent="0.25">
      <c r="A12" s="8" t="s">
        <v>92</v>
      </c>
      <c r="B12" s="9">
        <v>45668</v>
      </c>
      <c r="C12" s="8" t="s">
        <v>93</v>
      </c>
      <c r="D12" s="8" t="s">
        <v>94</v>
      </c>
      <c r="E12" s="8">
        <v>30</v>
      </c>
      <c r="F12" s="8" t="s">
        <v>95</v>
      </c>
      <c r="G12" s="8" t="s">
        <v>50</v>
      </c>
      <c r="H12" s="48">
        <v>68000</v>
      </c>
      <c r="I12" s="8" t="s">
        <v>96</v>
      </c>
      <c r="J12" s="48">
        <v>9200</v>
      </c>
      <c r="K12" s="8" t="s">
        <v>44</v>
      </c>
      <c r="L12" s="48">
        <v>11000</v>
      </c>
      <c r="M12" s="48">
        <v>3000</v>
      </c>
      <c r="N12" s="8">
        <v>732</v>
      </c>
      <c r="O12" s="8" t="s">
        <v>53</v>
      </c>
      <c r="P12" s="15" t="str">
        <f t="shared" si="0"/>
        <v>Jaipur</v>
      </c>
      <c r="Q12" s="15" t="str">
        <f t="shared" si="1"/>
        <v>Freelancing</v>
      </c>
      <c r="R12" s="15" t="str">
        <f t="shared" si="2"/>
        <v>Shopping</v>
      </c>
      <c r="S12" s="15">
        <f t="shared" si="3"/>
        <v>3000</v>
      </c>
      <c r="T12" s="15" t="str">
        <f t="shared" si="4"/>
        <v>UPI</v>
      </c>
    </row>
    <row r="13" spans="1:20" ht="15" customHeight="1" x14ac:dyDescent="0.25">
      <c r="A13" s="8" t="s">
        <v>97</v>
      </c>
      <c r="B13" s="9">
        <v>45669</v>
      </c>
      <c r="C13" s="8" t="s">
        <v>98</v>
      </c>
      <c r="D13" s="8" t="s">
        <v>99</v>
      </c>
      <c r="E13" s="8">
        <v>45</v>
      </c>
      <c r="F13" s="8" t="s">
        <v>41</v>
      </c>
      <c r="G13" s="8" t="s">
        <v>63</v>
      </c>
      <c r="H13" s="48">
        <v>150000</v>
      </c>
      <c r="I13" s="8" t="s">
        <v>100</v>
      </c>
      <c r="J13" s="48">
        <v>35000</v>
      </c>
      <c r="K13" s="8" t="s">
        <v>65</v>
      </c>
      <c r="L13" s="48">
        <v>40000</v>
      </c>
      <c r="M13" s="48">
        <v>20000</v>
      </c>
      <c r="N13" s="8">
        <v>810</v>
      </c>
      <c r="O13" s="8" t="s">
        <v>66</v>
      </c>
      <c r="P13" s="15" t="str">
        <f t="shared" si="0"/>
        <v>Kolkata</v>
      </c>
      <c r="Q13" s="15" t="str">
        <f t="shared" si="1"/>
        <v>Business</v>
      </c>
      <c r="R13" s="15" t="str">
        <f t="shared" si="2"/>
        <v>Investment</v>
      </c>
      <c r="S13" s="15">
        <f t="shared" si="3"/>
        <v>20000</v>
      </c>
      <c r="T13" s="15" t="str">
        <f t="shared" si="4"/>
        <v>NetBanking</v>
      </c>
    </row>
    <row r="14" spans="1:20" ht="15" customHeight="1" x14ac:dyDescent="0.25">
      <c r="A14" s="8" t="s">
        <v>101</v>
      </c>
      <c r="B14" s="9">
        <v>45670</v>
      </c>
      <c r="C14" s="8" t="s">
        <v>102</v>
      </c>
      <c r="D14" s="8" t="s">
        <v>103</v>
      </c>
      <c r="E14" s="8">
        <v>28</v>
      </c>
      <c r="F14" s="8" t="s">
        <v>104</v>
      </c>
      <c r="G14" s="8"/>
      <c r="H14" s="48">
        <v>59000</v>
      </c>
      <c r="I14" s="8" t="s">
        <v>105</v>
      </c>
      <c r="J14" s="48">
        <v>5800</v>
      </c>
      <c r="K14" s="8"/>
      <c r="L14" s="48">
        <v>9000</v>
      </c>
      <c r="M14" s="48">
        <v>2500</v>
      </c>
      <c r="N14" s="8">
        <v>704</v>
      </c>
      <c r="O14" s="8" t="s">
        <v>45</v>
      </c>
      <c r="P14" s="15" t="str">
        <f t="shared" si="0"/>
        <v>Delhi</v>
      </c>
      <c r="Q14" s="15" t="str">
        <f t="shared" si="1"/>
        <v>Unknown</v>
      </c>
      <c r="R14" s="15" t="str">
        <f t="shared" si="2"/>
        <v>Food</v>
      </c>
      <c r="S14" s="15">
        <f t="shared" si="3"/>
        <v>2500</v>
      </c>
      <c r="T14" s="15" t="str">
        <f t="shared" si="4"/>
        <v>Cash/UPI</v>
      </c>
    </row>
    <row r="15" spans="1:20" ht="15" customHeight="1" x14ac:dyDescent="0.25">
      <c r="A15" s="8" t="s">
        <v>106</v>
      </c>
      <c r="B15" s="9">
        <v>45671</v>
      </c>
      <c r="C15" s="8" t="s">
        <v>39</v>
      </c>
      <c r="D15" s="8" t="s">
        <v>107</v>
      </c>
      <c r="E15" s="8">
        <v>33</v>
      </c>
      <c r="F15" s="8"/>
      <c r="G15" s="8" t="s">
        <v>42</v>
      </c>
      <c r="H15" s="48">
        <v>71000</v>
      </c>
      <c r="I15" s="8" t="s">
        <v>43</v>
      </c>
      <c r="J15" s="48">
        <v>21000</v>
      </c>
      <c r="K15" s="8" t="s">
        <v>44</v>
      </c>
      <c r="L15" s="48">
        <v>13000</v>
      </c>
      <c r="M15" s="48">
        <v>6000</v>
      </c>
      <c r="N15" s="8">
        <v>740</v>
      </c>
      <c r="O15" s="8" t="s">
        <v>53</v>
      </c>
      <c r="P15" s="15" t="str">
        <f t="shared" si="0"/>
        <v>Unknown</v>
      </c>
      <c r="Q15" s="15" t="str">
        <f t="shared" si="1"/>
        <v>Salary</v>
      </c>
      <c r="R15" s="15" t="str">
        <f t="shared" si="2"/>
        <v>Rent</v>
      </c>
      <c r="S15" s="15">
        <f t="shared" si="3"/>
        <v>6000</v>
      </c>
      <c r="T15" s="15" t="str">
        <f t="shared" si="4"/>
        <v>UPI</v>
      </c>
    </row>
    <row r="16" spans="1:20" ht="15" customHeight="1" x14ac:dyDescent="0.25">
      <c r="A16" s="8" t="s">
        <v>108</v>
      </c>
      <c r="B16" s="9">
        <v>45672</v>
      </c>
      <c r="C16" s="8" t="s">
        <v>47</v>
      </c>
      <c r="D16" s="8" t="s">
        <v>109</v>
      </c>
      <c r="E16" s="8">
        <v>25</v>
      </c>
      <c r="F16" s="8" t="s">
        <v>76</v>
      </c>
      <c r="G16" s="8" t="s">
        <v>50</v>
      </c>
      <c r="H16" s="48">
        <v>47000</v>
      </c>
      <c r="I16" s="8" t="s">
        <v>71</v>
      </c>
      <c r="J16" s="48">
        <v>4200</v>
      </c>
      <c r="K16" s="8" t="s">
        <v>52</v>
      </c>
      <c r="L16" s="48">
        <v>7000</v>
      </c>
      <c r="M16" s="48"/>
      <c r="N16" s="8">
        <v>681</v>
      </c>
      <c r="O16" s="8" t="s">
        <v>58</v>
      </c>
      <c r="P16" s="15" t="str">
        <f t="shared" si="0"/>
        <v>Pune</v>
      </c>
      <c r="Q16" s="15" t="str">
        <f t="shared" si="1"/>
        <v>Freelancing</v>
      </c>
      <c r="R16" s="15" t="str">
        <f t="shared" si="2"/>
        <v>Entertainment</v>
      </c>
      <c r="S16" s="15">
        <f t="shared" si="3"/>
        <v>0</v>
      </c>
      <c r="T16" s="15" t="str">
        <f t="shared" si="4"/>
        <v>Card</v>
      </c>
    </row>
    <row r="17" spans="1:20" ht="15" customHeight="1" x14ac:dyDescent="0.25">
      <c r="A17" s="8" t="s">
        <v>110</v>
      </c>
      <c r="B17" s="9">
        <v>45673</v>
      </c>
      <c r="C17" s="8" t="s">
        <v>55</v>
      </c>
      <c r="D17" s="8" t="s">
        <v>111</v>
      </c>
      <c r="E17" s="8">
        <v>39</v>
      </c>
      <c r="F17" s="8" t="s">
        <v>62</v>
      </c>
      <c r="G17" s="8" t="s">
        <v>63</v>
      </c>
      <c r="H17" s="48">
        <v>132000</v>
      </c>
      <c r="I17" s="8" t="s">
        <v>77</v>
      </c>
      <c r="J17" s="48">
        <v>6800</v>
      </c>
      <c r="K17" s="8" t="s">
        <v>65</v>
      </c>
      <c r="L17" s="48">
        <v>30000</v>
      </c>
      <c r="M17" s="48">
        <v>15000</v>
      </c>
      <c r="N17" s="8">
        <v>790</v>
      </c>
      <c r="O17" s="8" t="s">
        <v>66</v>
      </c>
      <c r="P17" s="15" t="str">
        <f t="shared" si="0"/>
        <v>Bangalore</v>
      </c>
      <c r="Q17" s="15" t="str">
        <f t="shared" si="1"/>
        <v>Business</v>
      </c>
      <c r="R17" s="15" t="str">
        <f t="shared" si="2"/>
        <v>Healthcare</v>
      </c>
      <c r="S17" s="15">
        <f t="shared" si="3"/>
        <v>15000</v>
      </c>
      <c r="T17" s="15" t="str">
        <f t="shared" si="4"/>
        <v>NetBanking</v>
      </c>
    </row>
    <row r="18" spans="1:20" ht="15" customHeight="1" x14ac:dyDescent="0.25">
      <c r="A18" s="8" t="s">
        <v>112</v>
      </c>
      <c r="B18" s="9">
        <v>45674</v>
      </c>
      <c r="C18" s="8" t="s">
        <v>60</v>
      </c>
      <c r="D18" s="8" t="s">
        <v>113</v>
      </c>
      <c r="E18" s="8">
        <v>29</v>
      </c>
      <c r="F18" s="8" t="s">
        <v>104</v>
      </c>
      <c r="G18" s="8" t="s">
        <v>42</v>
      </c>
      <c r="H18" s="48">
        <v>62000</v>
      </c>
      <c r="I18" s="8" t="s">
        <v>51</v>
      </c>
      <c r="J18" s="48">
        <v>5900</v>
      </c>
      <c r="K18" s="8" t="s">
        <v>44</v>
      </c>
      <c r="L18" s="48">
        <v>12000</v>
      </c>
      <c r="M18" s="48">
        <v>3000</v>
      </c>
      <c r="N18" s="8">
        <v>725</v>
      </c>
      <c r="O18" s="8" t="s">
        <v>53</v>
      </c>
      <c r="P18" s="15" t="str">
        <f t="shared" si="0"/>
        <v>Delhi</v>
      </c>
      <c r="Q18" s="15" t="str">
        <f t="shared" si="1"/>
        <v>Salary</v>
      </c>
      <c r="R18" s="15" t="str">
        <f t="shared" si="2"/>
        <v>Groceries</v>
      </c>
      <c r="S18" s="15">
        <f t="shared" si="3"/>
        <v>3000</v>
      </c>
      <c r="T18" s="15" t="str">
        <f t="shared" si="4"/>
        <v>UPI</v>
      </c>
    </row>
    <row r="19" spans="1:20" ht="15" customHeight="1" x14ac:dyDescent="0.25">
      <c r="A19" s="8" t="s">
        <v>114</v>
      </c>
      <c r="B19" s="9">
        <v>45675</v>
      </c>
      <c r="C19" s="8" t="s">
        <v>68</v>
      </c>
      <c r="D19" s="8" t="s">
        <v>115</v>
      </c>
      <c r="E19" s="8">
        <v>35</v>
      </c>
      <c r="F19" s="8" t="s">
        <v>49</v>
      </c>
      <c r="G19" s="8" t="s">
        <v>42</v>
      </c>
      <c r="H19" s="48">
        <v>81000</v>
      </c>
      <c r="I19" s="8" t="s">
        <v>116</v>
      </c>
      <c r="J19" s="48">
        <v>4100</v>
      </c>
      <c r="K19" s="8" t="s">
        <v>57</v>
      </c>
      <c r="L19" s="48">
        <v>16000</v>
      </c>
      <c r="M19" s="48">
        <v>9000</v>
      </c>
      <c r="N19" s="8">
        <v>710</v>
      </c>
      <c r="O19" s="8" t="s">
        <v>45</v>
      </c>
      <c r="P19" s="15" t="str">
        <f t="shared" si="0"/>
        <v>Mumbai</v>
      </c>
      <c r="Q19" s="15" t="str">
        <f t="shared" si="1"/>
        <v>Salary</v>
      </c>
      <c r="R19" s="15" t="str">
        <f t="shared" si="2"/>
        <v>Transport</v>
      </c>
      <c r="S19" s="15">
        <f t="shared" si="3"/>
        <v>9000</v>
      </c>
      <c r="T19" s="15" t="str">
        <f t="shared" si="4"/>
        <v>Cash</v>
      </c>
    </row>
    <row r="20" spans="1:20" ht="15" customHeight="1" x14ac:dyDescent="0.25">
      <c r="A20" s="8" t="s">
        <v>117</v>
      </c>
      <c r="B20" s="9">
        <v>45676</v>
      </c>
      <c r="C20" s="8" t="s">
        <v>74</v>
      </c>
      <c r="D20" s="8" t="s">
        <v>118</v>
      </c>
      <c r="E20" s="8">
        <v>27</v>
      </c>
      <c r="F20" s="8" t="s">
        <v>119</v>
      </c>
      <c r="G20" s="8" t="s">
        <v>50</v>
      </c>
      <c r="H20" s="48">
        <v>56000</v>
      </c>
      <c r="I20" s="8"/>
      <c r="J20" s="48">
        <v>9700</v>
      </c>
      <c r="K20" s="8" t="s">
        <v>52</v>
      </c>
      <c r="L20" s="48">
        <v>8500</v>
      </c>
      <c r="M20" s="48"/>
      <c r="N20" s="8">
        <v>699</v>
      </c>
      <c r="O20" s="8" t="s">
        <v>58</v>
      </c>
      <c r="P20" s="15" t="str">
        <f t="shared" si="0"/>
        <v>Chandigarh</v>
      </c>
      <c r="Q20" s="15" t="str">
        <f t="shared" si="1"/>
        <v>Freelancing</v>
      </c>
      <c r="R20" s="15" t="str">
        <f t="shared" si="2"/>
        <v>Unknown</v>
      </c>
      <c r="S20" s="15">
        <f t="shared" si="3"/>
        <v>0</v>
      </c>
      <c r="T20" s="15" t="str">
        <f t="shared" si="4"/>
        <v>Card</v>
      </c>
    </row>
    <row r="21" spans="1:20" ht="15" customHeight="1" x14ac:dyDescent="0.25">
      <c r="A21" s="8" t="s">
        <v>120</v>
      </c>
      <c r="B21" s="9">
        <v>45677</v>
      </c>
      <c r="C21" s="8" t="s">
        <v>79</v>
      </c>
      <c r="D21" s="8" t="s">
        <v>121</v>
      </c>
      <c r="E21" s="8">
        <v>41</v>
      </c>
      <c r="F21" s="8" t="s">
        <v>104</v>
      </c>
      <c r="G21" s="8" t="s">
        <v>63</v>
      </c>
      <c r="H21" s="48">
        <v>145000</v>
      </c>
      <c r="I21" s="8" t="s">
        <v>64</v>
      </c>
      <c r="J21" s="48">
        <v>7800</v>
      </c>
      <c r="K21" s="8" t="s">
        <v>82</v>
      </c>
      <c r="L21" s="48">
        <v>42000</v>
      </c>
      <c r="M21" s="48">
        <v>25000</v>
      </c>
      <c r="N21" s="8">
        <v>805</v>
      </c>
      <c r="O21" s="8" t="s">
        <v>66</v>
      </c>
      <c r="P21" s="15" t="str">
        <f t="shared" si="0"/>
        <v>Delhi</v>
      </c>
      <c r="Q21" s="15" t="str">
        <f t="shared" si="1"/>
        <v>Business</v>
      </c>
      <c r="R21" s="15" t="str">
        <f t="shared" si="2"/>
        <v>Utilities</v>
      </c>
      <c r="S21" s="15">
        <f t="shared" si="3"/>
        <v>25000</v>
      </c>
      <c r="T21" s="15" t="str">
        <f t="shared" si="4"/>
        <v>Cheque</v>
      </c>
    </row>
    <row r="22" spans="1:20" ht="15" customHeight="1" x14ac:dyDescent="0.25">
      <c r="A22" s="8" t="s">
        <v>122</v>
      </c>
      <c r="B22" s="9">
        <v>45678</v>
      </c>
      <c r="C22" s="8" t="s">
        <v>84</v>
      </c>
      <c r="D22" s="8" t="s">
        <v>123</v>
      </c>
      <c r="E22" s="8">
        <v>32</v>
      </c>
      <c r="F22" s="8" t="s">
        <v>124</v>
      </c>
      <c r="G22" s="8" t="s">
        <v>42</v>
      </c>
      <c r="H22" s="48">
        <v>69000</v>
      </c>
      <c r="I22" s="8" t="s">
        <v>105</v>
      </c>
      <c r="J22" s="48">
        <v>6300</v>
      </c>
      <c r="K22" s="8" t="s">
        <v>44</v>
      </c>
      <c r="L22" s="48">
        <v>10000</v>
      </c>
      <c r="M22" s="48">
        <v>4500</v>
      </c>
      <c r="N22" s="8">
        <v>730</v>
      </c>
      <c r="O22" s="8" t="s">
        <v>53</v>
      </c>
      <c r="P22" s="15" t="str">
        <f t="shared" si="0"/>
        <v>Ahmedabad</v>
      </c>
      <c r="Q22" s="15" t="str">
        <f t="shared" si="1"/>
        <v>Salary</v>
      </c>
      <c r="R22" s="15" t="str">
        <f t="shared" si="2"/>
        <v>Food</v>
      </c>
      <c r="S22" s="15">
        <f t="shared" si="3"/>
        <v>4500</v>
      </c>
      <c r="T22" s="15" t="str">
        <f t="shared" si="4"/>
        <v>UPI</v>
      </c>
    </row>
    <row r="23" spans="1:20" ht="15" customHeight="1" x14ac:dyDescent="0.25">
      <c r="A23" s="8" t="s">
        <v>125</v>
      </c>
      <c r="B23" s="9">
        <v>45679</v>
      </c>
      <c r="C23" s="8" t="s">
        <v>89</v>
      </c>
      <c r="D23" s="8" t="s">
        <v>126</v>
      </c>
      <c r="E23" s="8">
        <v>37</v>
      </c>
      <c r="F23" s="8" t="s">
        <v>127</v>
      </c>
      <c r="G23" s="8" t="s">
        <v>42</v>
      </c>
      <c r="H23" s="48">
        <v>57000</v>
      </c>
      <c r="I23" s="8" t="s">
        <v>43</v>
      </c>
      <c r="J23" s="48">
        <v>16000</v>
      </c>
      <c r="K23" s="8" t="s">
        <v>57</v>
      </c>
      <c r="L23" s="48">
        <v>6000</v>
      </c>
      <c r="M23" s="48">
        <v>5500</v>
      </c>
      <c r="N23" s="8">
        <v>670</v>
      </c>
      <c r="O23" s="8" t="s">
        <v>72</v>
      </c>
      <c r="P23" s="15" t="str">
        <f t="shared" si="0"/>
        <v>Patna</v>
      </c>
      <c r="Q23" s="15" t="str">
        <f t="shared" si="1"/>
        <v>Salary</v>
      </c>
      <c r="R23" s="15" t="str">
        <f t="shared" si="2"/>
        <v>Rent</v>
      </c>
      <c r="S23" s="15">
        <f t="shared" si="3"/>
        <v>5500</v>
      </c>
      <c r="T23" s="15" t="str">
        <f t="shared" si="4"/>
        <v>Cash</v>
      </c>
    </row>
    <row r="24" spans="1:20" ht="15" customHeight="1" x14ac:dyDescent="0.25">
      <c r="A24" s="8" t="s">
        <v>128</v>
      </c>
      <c r="B24" s="9">
        <v>45680</v>
      </c>
      <c r="C24" s="8" t="s">
        <v>93</v>
      </c>
      <c r="D24" s="8" t="s">
        <v>129</v>
      </c>
      <c r="E24" s="8">
        <v>26</v>
      </c>
      <c r="F24" s="8" t="s">
        <v>130</v>
      </c>
      <c r="G24" s="8" t="s">
        <v>50</v>
      </c>
      <c r="H24" s="48">
        <v>52000</v>
      </c>
      <c r="I24" s="8" t="s">
        <v>96</v>
      </c>
      <c r="J24" s="48">
        <v>7600</v>
      </c>
      <c r="K24" s="8" t="s">
        <v>52</v>
      </c>
      <c r="L24" s="48">
        <v>9000</v>
      </c>
      <c r="M24" s="48"/>
      <c r="N24" s="8">
        <v>715</v>
      </c>
      <c r="O24" s="8" t="s">
        <v>45</v>
      </c>
      <c r="P24" s="15" t="str">
        <f t="shared" si="0"/>
        <v>Surat</v>
      </c>
      <c r="Q24" s="15" t="str">
        <f t="shared" si="1"/>
        <v>Freelancing</v>
      </c>
      <c r="R24" s="15" t="str">
        <f t="shared" si="2"/>
        <v>Shopping</v>
      </c>
      <c r="S24" s="15">
        <f t="shared" si="3"/>
        <v>0</v>
      </c>
      <c r="T24" s="15" t="str">
        <f t="shared" si="4"/>
        <v>Card</v>
      </c>
    </row>
    <row r="25" spans="1:20" ht="15" customHeight="1" x14ac:dyDescent="0.25">
      <c r="A25" s="8" t="s">
        <v>131</v>
      </c>
      <c r="B25" s="9">
        <v>45681</v>
      </c>
      <c r="C25" s="8" t="s">
        <v>98</v>
      </c>
      <c r="D25" s="8" t="s">
        <v>132</v>
      </c>
      <c r="E25" s="8">
        <v>40</v>
      </c>
      <c r="F25" s="8"/>
      <c r="G25" s="8"/>
      <c r="H25" s="48">
        <v>125000</v>
      </c>
      <c r="I25" s="8" t="s">
        <v>100</v>
      </c>
      <c r="J25" s="48">
        <v>28000</v>
      </c>
      <c r="K25" s="8" t="s">
        <v>65</v>
      </c>
      <c r="L25" s="48">
        <v>37000</v>
      </c>
      <c r="M25" s="48">
        <v>12000</v>
      </c>
      <c r="N25" s="8">
        <v>798</v>
      </c>
      <c r="O25" s="8" t="s">
        <v>66</v>
      </c>
      <c r="P25" s="15" t="str">
        <f t="shared" si="0"/>
        <v>Unknown</v>
      </c>
      <c r="Q25" s="15" t="str">
        <f t="shared" si="1"/>
        <v>Unknown</v>
      </c>
      <c r="R25" s="15" t="str">
        <f t="shared" si="2"/>
        <v>Investment</v>
      </c>
      <c r="S25" s="15">
        <f t="shared" si="3"/>
        <v>12000</v>
      </c>
      <c r="T25" s="15" t="str">
        <f t="shared" si="4"/>
        <v>NetBanking</v>
      </c>
    </row>
    <row r="26" spans="1:20" ht="15" customHeight="1" x14ac:dyDescent="0.25">
      <c r="A26" s="8" t="s">
        <v>133</v>
      </c>
      <c r="B26" s="9">
        <v>45682</v>
      </c>
      <c r="C26" s="8" t="s">
        <v>102</v>
      </c>
      <c r="D26" s="8" t="s">
        <v>134</v>
      </c>
      <c r="E26" s="8">
        <v>31</v>
      </c>
      <c r="F26" s="8" t="s">
        <v>41</v>
      </c>
      <c r="G26" s="8" t="s">
        <v>42</v>
      </c>
      <c r="H26" s="48">
        <v>74000</v>
      </c>
      <c r="I26" s="8" t="s">
        <v>87</v>
      </c>
      <c r="J26" s="48">
        <v>5300</v>
      </c>
      <c r="K26" s="8" t="s">
        <v>44</v>
      </c>
      <c r="L26" s="48">
        <v>15000</v>
      </c>
      <c r="M26" s="48">
        <v>5000</v>
      </c>
      <c r="N26" s="8">
        <v>750</v>
      </c>
      <c r="O26" s="8" t="s">
        <v>53</v>
      </c>
      <c r="P26" s="15" t="str">
        <f t="shared" si="0"/>
        <v>Kolkata</v>
      </c>
      <c r="Q26" s="15" t="str">
        <f t="shared" si="1"/>
        <v>Salary</v>
      </c>
      <c r="R26" s="15" t="str">
        <f t="shared" si="2"/>
        <v>Education</v>
      </c>
      <c r="S26" s="15">
        <f t="shared" si="3"/>
        <v>5000</v>
      </c>
      <c r="T26" s="15" t="str">
        <f t="shared" si="4"/>
        <v>UPI</v>
      </c>
    </row>
    <row r="27" spans="1:20" ht="15" customHeight="1" x14ac:dyDescent="0.25">
      <c r="A27" s="8" t="s">
        <v>135</v>
      </c>
      <c r="B27" s="9">
        <v>45683</v>
      </c>
      <c r="C27" s="8" t="s">
        <v>39</v>
      </c>
      <c r="D27" s="8" t="s">
        <v>136</v>
      </c>
      <c r="E27" s="8">
        <v>28</v>
      </c>
      <c r="F27" s="8" t="s">
        <v>104</v>
      </c>
      <c r="G27" s="8" t="s">
        <v>42</v>
      </c>
      <c r="H27" s="48">
        <v>63000</v>
      </c>
      <c r="I27" s="8"/>
      <c r="J27" s="48">
        <v>8600</v>
      </c>
      <c r="K27" s="8" t="s">
        <v>52</v>
      </c>
      <c r="L27" s="48">
        <v>11000</v>
      </c>
      <c r="M27" s="48">
        <v>3500</v>
      </c>
      <c r="N27" s="8">
        <v>721</v>
      </c>
      <c r="O27" s="8" t="s">
        <v>45</v>
      </c>
      <c r="P27" s="15" t="str">
        <f t="shared" si="0"/>
        <v>Delhi</v>
      </c>
      <c r="Q27" s="15" t="str">
        <f t="shared" si="1"/>
        <v>Salary</v>
      </c>
      <c r="R27" s="15" t="str">
        <f t="shared" si="2"/>
        <v>Unknown</v>
      </c>
      <c r="S27" s="15">
        <f t="shared" si="3"/>
        <v>3500</v>
      </c>
      <c r="T27" s="15" t="str">
        <f t="shared" si="4"/>
        <v>Card</v>
      </c>
    </row>
    <row r="28" spans="1:20" ht="15" customHeight="1" x14ac:dyDescent="0.25">
      <c r="A28" s="8" t="s">
        <v>137</v>
      </c>
      <c r="B28" s="9">
        <v>45733</v>
      </c>
      <c r="C28" s="8" t="s">
        <v>47</v>
      </c>
      <c r="D28" s="8" t="s">
        <v>138</v>
      </c>
      <c r="E28" s="8">
        <v>36</v>
      </c>
      <c r="F28" s="8" t="s">
        <v>41</v>
      </c>
      <c r="G28" s="8" t="s">
        <v>42</v>
      </c>
      <c r="H28" s="48">
        <v>81000</v>
      </c>
      <c r="I28" s="8" t="s">
        <v>139</v>
      </c>
      <c r="J28" s="48">
        <v>9400</v>
      </c>
      <c r="K28" s="8" t="s">
        <v>44</v>
      </c>
      <c r="L28" s="48">
        <v>17000</v>
      </c>
      <c r="M28" s="48">
        <v>8500</v>
      </c>
      <c r="N28" s="8">
        <v>743</v>
      </c>
      <c r="O28" s="8" t="s">
        <v>53</v>
      </c>
      <c r="P28" s="15" t="str">
        <f t="shared" si="0"/>
        <v>Kolkata</v>
      </c>
      <c r="Q28" s="15" t="str">
        <f t="shared" si="1"/>
        <v>Salary</v>
      </c>
      <c r="R28" s="15" t="str">
        <f t="shared" si="2"/>
        <v>Travel</v>
      </c>
      <c r="S28" s="15">
        <f t="shared" si="3"/>
        <v>8500</v>
      </c>
      <c r="T28" s="15" t="str">
        <f t="shared" si="4"/>
        <v>UPI</v>
      </c>
    </row>
    <row r="29" spans="1:20" ht="15" customHeight="1" x14ac:dyDescent="0.25">
      <c r="A29" s="8" t="s">
        <v>140</v>
      </c>
      <c r="B29" s="9">
        <v>45734</v>
      </c>
      <c r="C29" s="8" t="s">
        <v>55</v>
      </c>
      <c r="D29" s="8" t="s">
        <v>141</v>
      </c>
      <c r="E29" s="8">
        <v>27</v>
      </c>
      <c r="F29" s="8" t="s">
        <v>76</v>
      </c>
      <c r="G29" s="8" t="s">
        <v>50</v>
      </c>
      <c r="H29" s="48">
        <v>55000</v>
      </c>
      <c r="I29" s="8" t="s">
        <v>105</v>
      </c>
      <c r="J29" s="48">
        <v>5200</v>
      </c>
      <c r="K29" s="8" t="s">
        <v>52</v>
      </c>
      <c r="L29" s="48">
        <v>8000</v>
      </c>
      <c r="M29" s="48"/>
      <c r="N29" s="8">
        <v>701</v>
      </c>
      <c r="O29" s="8" t="s">
        <v>45</v>
      </c>
      <c r="P29" s="15" t="str">
        <f t="shared" si="0"/>
        <v>Pune</v>
      </c>
      <c r="Q29" s="15" t="str">
        <f t="shared" si="1"/>
        <v>Freelancing</v>
      </c>
      <c r="R29" s="15" t="str">
        <f t="shared" si="2"/>
        <v>Food</v>
      </c>
      <c r="S29" s="15">
        <f t="shared" si="3"/>
        <v>0</v>
      </c>
      <c r="T29" s="15" t="str">
        <f t="shared" si="4"/>
        <v>Card</v>
      </c>
    </row>
    <row r="30" spans="1:20" ht="15" customHeight="1" x14ac:dyDescent="0.25">
      <c r="A30" s="8" t="s">
        <v>142</v>
      </c>
      <c r="B30" s="9">
        <v>45735</v>
      </c>
      <c r="C30" s="8" t="s">
        <v>60</v>
      </c>
      <c r="D30" s="8" t="s">
        <v>143</v>
      </c>
      <c r="E30" s="8">
        <v>43</v>
      </c>
      <c r="F30" s="8" t="s">
        <v>104</v>
      </c>
      <c r="G30" s="8" t="s">
        <v>63</v>
      </c>
      <c r="H30" s="48">
        <v>149000</v>
      </c>
      <c r="I30" s="8" t="s">
        <v>100</v>
      </c>
      <c r="J30" s="48">
        <v>41000</v>
      </c>
      <c r="K30" s="8" t="s">
        <v>82</v>
      </c>
      <c r="L30" s="48">
        <v>50000</v>
      </c>
      <c r="M30" s="48">
        <v>23000</v>
      </c>
      <c r="N30" s="8">
        <v>815</v>
      </c>
      <c r="O30" s="8" t="s">
        <v>66</v>
      </c>
      <c r="P30" s="15" t="str">
        <f t="shared" si="0"/>
        <v>Delhi</v>
      </c>
      <c r="Q30" s="15" t="str">
        <f t="shared" si="1"/>
        <v>Business</v>
      </c>
      <c r="R30" s="15" t="str">
        <f t="shared" si="2"/>
        <v>Investment</v>
      </c>
      <c r="S30" s="15">
        <f t="shared" si="3"/>
        <v>23000</v>
      </c>
      <c r="T30" s="15" t="str">
        <f t="shared" si="4"/>
        <v>Cheque</v>
      </c>
    </row>
    <row r="31" spans="1:20" ht="15" customHeight="1" x14ac:dyDescent="0.25">
      <c r="A31" s="8" t="s">
        <v>144</v>
      </c>
      <c r="B31" s="9">
        <v>45736</v>
      </c>
      <c r="C31" s="8" t="s">
        <v>68</v>
      </c>
      <c r="D31" s="8" t="s">
        <v>145</v>
      </c>
      <c r="E31" s="8">
        <v>30</v>
      </c>
      <c r="F31" s="8" t="s">
        <v>41</v>
      </c>
      <c r="G31" s="8" t="s">
        <v>42</v>
      </c>
      <c r="H31" s="48">
        <v>72000</v>
      </c>
      <c r="I31" s="8" t="s">
        <v>64</v>
      </c>
      <c r="J31" s="48">
        <v>6300</v>
      </c>
      <c r="K31" s="8" t="s">
        <v>44</v>
      </c>
      <c r="L31" s="48">
        <v>14500</v>
      </c>
      <c r="M31" s="48">
        <v>3500</v>
      </c>
      <c r="N31" s="8">
        <v>735</v>
      </c>
      <c r="O31" s="8" t="s">
        <v>53</v>
      </c>
      <c r="P31" s="15" t="str">
        <f t="shared" si="0"/>
        <v>Kolkata</v>
      </c>
      <c r="Q31" s="15" t="str">
        <f t="shared" si="1"/>
        <v>Salary</v>
      </c>
      <c r="R31" s="15" t="str">
        <f t="shared" si="2"/>
        <v>Utilities</v>
      </c>
      <c r="S31" s="15">
        <f t="shared" si="3"/>
        <v>3500</v>
      </c>
      <c r="T31" s="15" t="str">
        <f t="shared" si="4"/>
        <v>UPI</v>
      </c>
    </row>
    <row r="32" spans="1:20" ht="15" customHeight="1" x14ac:dyDescent="0.25">
      <c r="A32" s="8" t="s">
        <v>146</v>
      </c>
      <c r="B32" s="9">
        <v>45737</v>
      </c>
      <c r="C32" s="8" t="s">
        <v>74</v>
      </c>
      <c r="D32" s="8" t="s">
        <v>147</v>
      </c>
      <c r="E32" s="8">
        <v>28</v>
      </c>
      <c r="F32" s="8" t="s">
        <v>104</v>
      </c>
      <c r="G32" s="8" t="s">
        <v>42</v>
      </c>
      <c r="H32" s="48">
        <v>65000</v>
      </c>
      <c r="I32" s="8" t="s">
        <v>116</v>
      </c>
      <c r="J32" s="48">
        <v>4800</v>
      </c>
      <c r="K32" s="8" t="s">
        <v>57</v>
      </c>
      <c r="L32" s="48">
        <v>10000</v>
      </c>
      <c r="M32" s="48">
        <v>4000</v>
      </c>
      <c r="N32" s="8">
        <v>712</v>
      </c>
      <c r="O32" s="8" t="s">
        <v>45</v>
      </c>
      <c r="P32" s="15" t="str">
        <f t="shared" si="0"/>
        <v>Delhi</v>
      </c>
      <c r="Q32" s="15" t="str">
        <f t="shared" si="1"/>
        <v>Salary</v>
      </c>
      <c r="R32" s="15" t="str">
        <f t="shared" si="2"/>
        <v>Transport</v>
      </c>
      <c r="S32" s="15">
        <f t="shared" si="3"/>
        <v>4000</v>
      </c>
      <c r="T32" s="15" t="str">
        <f t="shared" si="4"/>
        <v>Cash</v>
      </c>
    </row>
    <row r="33" spans="1:20" ht="15" customHeight="1" x14ac:dyDescent="0.25">
      <c r="A33" s="8" t="s">
        <v>148</v>
      </c>
      <c r="B33" s="9">
        <v>45738</v>
      </c>
      <c r="C33" s="8" t="s">
        <v>79</v>
      </c>
      <c r="D33" s="8" t="s">
        <v>149</v>
      </c>
      <c r="E33" s="8">
        <v>25</v>
      </c>
      <c r="F33" s="8" t="s">
        <v>41</v>
      </c>
      <c r="G33" s="8" t="s">
        <v>50</v>
      </c>
      <c r="H33" s="48">
        <v>50000</v>
      </c>
      <c r="I33" s="8" t="s">
        <v>96</v>
      </c>
      <c r="J33" s="48">
        <v>8100</v>
      </c>
      <c r="K33" s="8" t="s">
        <v>52</v>
      </c>
      <c r="L33" s="48">
        <v>6000</v>
      </c>
      <c r="M33" s="48"/>
      <c r="N33" s="8">
        <v>689</v>
      </c>
      <c r="O33" s="8" t="s">
        <v>58</v>
      </c>
      <c r="P33" s="15" t="str">
        <f t="shared" si="0"/>
        <v>Kolkata</v>
      </c>
      <c r="Q33" s="15" t="str">
        <f t="shared" si="1"/>
        <v>Freelancing</v>
      </c>
      <c r="R33" s="15" t="str">
        <f t="shared" si="2"/>
        <v>Shopping</v>
      </c>
      <c r="S33" s="15">
        <f t="shared" si="3"/>
        <v>0</v>
      </c>
      <c r="T33" s="15" t="str">
        <f t="shared" si="4"/>
        <v>Card</v>
      </c>
    </row>
    <row r="34" spans="1:20" ht="15" customHeight="1" x14ac:dyDescent="0.25">
      <c r="A34" s="8" t="s">
        <v>150</v>
      </c>
      <c r="B34" s="9">
        <v>45739</v>
      </c>
      <c r="C34" s="8" t="s">
        <v>84</v>
      </c>
      <c r="D34" s="8" t="s">
        <v>151</v>
      </c>
      <c r="E34" s="8">
        <v>40</v>
      </c>
      <c r="F34" s="8" t="s">
        <v>49</v>
      </c>
      <c r="G34" s="8"/>
      <c r="H34" s="48">
        <v>137000</v>
      </c>
      <c r="I34" s="8" t="s">
        <v>43</v>
      </c>
      <c r="J34" s="48">
        <v>33000</v>
      </c>
      <c r="K34" s="8"/>
      <c r="L34" s="48">
        <v>41000</v>
      </c>
      <c r="M34" s="48">
        <v>17000</v>
      </c>
      <c r="N34" s="8">
        <v>799</v>
      </c>
      <c r="O34" s="8" t="s">
        <v>66</v>
      </c>
      <c r="P34" s="15" t="str">
        <f t="shared" si="0"/>
        <v>Mumbai</v>
      </c>
      <c r="Q34" s="15" t="str">
        <f t="shared" si="1"/>
        <v>Unknown</v>
      </c>
      <c r="R34" s="15" t="str">
        <f t="shared" si="2"/>
        <v>Rent</v>
      </c>
      <c r="S34" s="15">
        <f t="shared" si="3"/>
        <v>17000</v>
      </c>
      <c r="T34" s="15" t="str">
        <f t="shared" si="4"/>
        <v>Cash/UPI</v>
      </c>
    </row>
    <row r="35" spans="1:20" ht="15" customHeight="1" x14ac:dyDescent="0.25">
      <c r="A35" s="8" t="s">
        <v>152</v>
      </c>
      <c r="B35" s="9">
        <v>45740</v>
      </c>
      <c r="C35" s="8" t="s">
        <v>89</v>
      </c>
      <c r="D35" s="8" t="s">
        <v>153</v>
      </c>
      <c r="E35" s="8">
        <v>31</v>
      </c>
      <c r="F35" s="8" t="s">
        <v>41</v>
      </c>
      <c r="G35" s="8" t="s">
        <v>42</v>
      </c>
      <c r="H35" s="48">
        <v>70000</v>
      </c>
      <c r="I35" s="8" t="s">
        <v>77</v>
      </c>
      <c r="J35" s="48">
        <v>4600</v>
      </c>
      <c r="K35" s="8" t="s">
        <v>44</v>
      </c>
      <c r="L35" s="48">
        <v>13000</v>
      </c>
      <c r="M35" s="48">
        <v>3000</v>
      </c>
      <c r="N35" s="8">
        <v>732</v>
      </c>
      <c r="O35" s="8" t="s">
        <v>53</v>
      </c>
      <c r="P35" s="15" t="str">
        <f t="shared" ref="P35:P66" si="5">IF(COUNTBLANK(F35)=0,F35,"Unknown")</f>
        <v>Kolkata</v>
      </c>
      <c r="Q35" s="15" t="str">
        <f t="shared" ref="Q35:Q66" si="6">IF(COUNTBLANK(G35)=0,G35,"Unknown")</f>
        <v>Salary</v>
      </c>
      <c r="R35" s="15" t="str">
        <f t="shared" ref="R35:R66" si="7">IF(COUNTBLANK(I35)=0,I35,"Unknown")</f>
        <v>Healthcare</v>
      </c>
      <c r="S35" s="15">
        <f t="shared" ref="S35:S66" si="8">IF(COUNTBLANK(M35)=0,M35,0)</f>
        <v>3000</v>
      </c>
      <c r="T35" s="15" t="str">
        <f t="shared" ref="T35:T66" si="9">IF(COUNTBLANK(K35)=0,K35,"Cash/UPI")</f>
        <v>UPI</v>
      </c>
    </row>
    <row r="36" spans="1:20" ht="15" customHeight="1" x14ac:dyDescent="0.25">
      <c r="A36" s="8" t="s">
        <v>154</v>
      </c>
      <c r="B36" s="9">
        <v>45741</v>
      </c>
      <c r="C36" s="8" t="s">
        <v>93</v>
      </c>
      <c r="D36" s="8" t="s">
        <v>155</v>
      </c>
      <c r="E36" s="8">
        <v>35</v>
      </c>
      <c r="F36" s="8" t="s">
        <v>104</v>
      </c>
      <c r="G36" s="8" t="s">
        <v>42</v>
      </c>
      <c r="H36" s="48">
        <v>83000</v>
      </c>
      <c r="I36" s="8" t="s">
        <v>139</v>
      </c>
      <c r="J36" s="48">
        <v>10200</v>
      </c>
      <c r="K36" s="8" t="s">
        <v>52</v>
      </c>
      <c r="L36" s="48">
        <v>18000</v>
      </c>
      <c r="M36" s="48">
        <v>9500</v>
      </c>
      <c r="N36" s="8">
        <v>747</v>
      </c>
      <c r="O36" s="8" t="s">
        <v>53</v>
      </c>
      <c r="P36" s="15" t="str">
        <f t="shared" si="5"/>
        <v>Delhi</v>
      </c>
      <c r="Q36" s="15" t="str">
        <f t="shared" si="6"/>
        <v>Salary</v>
      </c>
      <c r="R36" s="15" t="str">
        <f t="shared" si="7"/>
        <v>Travel</v>
      </c>
      <c r="S36" s="15">
        <f t="shared" si="8"/>
        <v>9500</v>
      </c>
      <c r="T36" s="15" t="str">
        <f t="shared" si="9"/>
        <v>Card</v>
      </c>
    </row>
    <row r="37" spans="1:20" ht="15" customHeight="1" x14ac:dyDescent="0.25">
      <c r="A37" s="8" t="s">
        <v>156</v>
      </c>
      <c r="B37" s="9">
        <v>45742</v>
      </c>
      <c r="C37" s="8" t="s">
        <v>98</v>
      </c>
      <c r="D37" s="8" t="s">
        <v>157</v>
      </c>
      <c r="E37" s="8">
        <v>26</v>
      </c>
      <c r="F37" s="8" t="s">
        <v>76</v>
      </c>
      <c r="G37" s="8" t="s">
        <v>50</v>
      </c>
      <c r="H37" s="48">
        <v>53000</v>
      </c>
      <c r="I37" s="8" t="s">
        <v>71</v>
      </c>
      <c r="J37" s="48">
        <v>4100</v>
      </c>
      <c r="K37" s="8" t="s">
        <v>57</v>
      </c>
      <c r="L37" s="48">
        <v>7000</v>
      </c>
      <c r="M37" s="48"/>
      <c r="N37" s="8">
        <v>694</v>
      </c>
      <c r="O37" s="8" t="s">
        <v>58</v>
      </c>
      <c r="P37" s="15" t="str">
        <f t="shared" si="5"/>
        <v>Pune</v>
      </c>
      <c r="Q37" s="15" t="str">
        <f t="shared" si="6"/>
        <v>Freelancing</v>
      </c>
      <c r="R37" s="15" t="str">
        <f t="shared" si="7"/>
        <v>Entertainment</v>
      </c>
      <c r="S37" s="15">
        <f t="shared" si="8"/>
        <v>0</v>
      </c>
      <c r="T37" s="15" t="str">
        <f t="shared" si="9"/>
        <v>Cash</v>
      </c>
    </row>
    <row r="38" spans="1:20" ht="15" customHeight="1" x14ac:dyDescent="0.25">
      <c r="A38" s="8" t="s">
        <v>158</v>
      </c>
      <c r="B38" s="9">
        <v>45743</v>
      </c>
      <c r="C38" s="8" t="s">
        <v>102</v>
      </c>
      <c r="D38" s="8" t="s">
        <v>159</v>
      </c>
      <c r="E38" s="8">
        <v>42</v>
      </c>
      <c r="F38" s="8" t="s">
        <v>124</v>
      </c>
      <c r="G38" s="8" t="s">
        <v>63</v>
      </c>
      <c r="H38" s="48">
        <v>144000</v>
      </c>
      <c r="I38" s="8" t="s">
        <v>100</v>
      </c>
      <c r="J38" s="48">
        <v>37000</v>
      </c>
      <c r="K38" s="8" t="s">
        <v>82</v>
      </c>
      <c r="L38" s="48">
        <v>46000</v>
      </c>
      <c r="M38" s="48">
        <v>21000</v>
      </c>
      <c r="N38" s="8">
        <v>810</v>
      </c>
      <c r="O38" s="8" t="s">
        <v>66</v>
      </c>
      <c r="P38" s="15" t="str">
        <f t="shared" si="5"/>
        <v>Ahmedabad</v>
      </c>
      <c r="Q38" s="15" t="str">
        <f t="shared" si="6"/>
        <v>Business</v>
      </c>
      <c r="R38" s="15" t="str">
        <f t="shared" si="7"/>
        <v>Investment</v>
      </c>
      <c r="S38" s="15">
        <f t="shared" si="8"/>
        <v>21000</v>
      </c>
      <c r="T38" s="15" t="str">
        <f t="shared" si="9"/>
        <v>Cheque</v>
      </c>
    </row>
    <row r="39" spans="1:20" ht="15" customHeight="1" x14ac:dyDescent="0.25">
      <c r="A39" s="8" t="s">
        <v>160</v>
      </c>
      <c r="B39" s="9">
        <v>45744</v>
      </c>
      <c r="C39" s="8" t="s">
        <v>39</v>
      </c>
      <c r="D39" s="8" t="s">
        <v>161</v>
      </c>
      <c r="E39" s="8">
        <v>29</v>
      </c>
      <c r="F39" s="8" t="s">
        <v>41</v>
      </c>
      <c r="G39" s="8" t="s">
        <v>42</v>
      </c>
      <c r="H39" s="48">
        <v>69000</v>
      </c>
      <c r="I39" s="8" t="s">
        <v>51</v>
      </c>
      <c r="J39" s="48">
        <v>6200</v>
      </c>
      <c r="K39" s="8" t="s">
        <v>44</v>
      </c>
      <c r="L39" s="48">
        <v>12500</v>
      </c>
      <c r="M39" s="48">
        <v>3000</v>
      </c>
      <c r="N39" s="8">
        <v>728</v>
      </c>
      <c r="O39" s="8" t="s">
        <v>53</v>
      </c>
      <c r="P39" s="15" t="str">
        <f t="shared" si="5"/>
        <v>Kolkata</v>
      </c>
      <c r="Q39" s="15" t="str">
        <f t="shared" si="6"/>
        <v>Salary</v>
      </c>
      <c r="R39" s="15" t="str">
        <f t="shared" si="7"/>
        <v>Groceries</v>
      </c>
      <c r="S39" s="15">
        <f t="shared" si="8"/>
        <v>3000</v>
      </c>
      <c r="T39" s="15" t="str">
        <f t="shared" si="9"/>
        <v>UPI</v>
      </c>
    </row>
    <row r="40" spans="1:20" ht="15" customHeight="1" x14ac:dyDescent="0.25">
      <c r="A40" s="8" t="s">
        <v>162</v>
      </c>
      <c r="B40" s="9">
        <v>45745</v>
      </c>
      <c r="C40" s="8" t="s">
        <v>47</v>
      </c>
      <c r="D40" s="8" t="s">
        <v>163</v>
      </c>
      <c r="E40" s="8">
        <v>33</v>
      </c>
      <c r="F40" s="8"/>
      <c r="G40" s="8" t="s">
        <v>42</v>
      </c>
      <c r="H40" s="48">
        <v>78000</v>
      </c>
      <c r="I40" s="8" t="s">
        <v>43</v>
      </c>
      <c r="J40" s="48">
        <v>22000</v>
      </c>
      <c r="K40" s="8" t="s">
        <v>52</v>
      </c>
      <c r="L40" s="48">
        <v>15000</v>
      </c>
      <c r="M40" s="48">
        <v>7000</v>
      </c>
      <c r="N40" s="8">
        <v>739</v>
      </c>
      <c r="O40" s="8" t="s">
        <v>53</v>
      </c>
      <c r="P40" s="15" t="str">
        <f t="shared" si="5"/>
        <v>Unknown</v>
      </c>
      <c r="Q40" s="15" t="str">
        <f t="shared" si="6"/>
        <v>Salary</v>
      </c>
      <c r="R40" s="15" t="str">
        <f t="shared" si="7"/>
        <v>Rent</v>
      </c>
      <c r="S40" s="15">
        <f t="shared" si="8"/>
        <v>7000</v>
      </c>
      <c r="T40" s="15" t="str">
        <f t="shared" si="9"/>
        <v>Card</v>
      </c>
    </row>
    <row r="41" spans="1:20" ht="15" customHeight="1" x14ac:dyDescent="0.25">
      <c r="A41" s="8" t="s">
        <v>164</v>
      </c>
      <c r="B41" s="9">
        <v>45746</v>
      </c>
      <c r="C41" s="8" t="s">
        <v>55</v>
      </c>
      <c r="D41" s="8" t="s">
        <v>165</v>
      </c>
      <c r="E41" s="8">
        <v>24</v>
      </c>
      <c r="F41" s="8" t="s">
        <v>41</v>
      </c>
      <c r="G41" s="8" t="s">
        <v>86</v>
      </c>
      <c r="H41" s="48">
        <v>30000</v>
      </c>
      <c r="I41" s="8" t="s">
        <v>105</v>
      </c>
      <c r="J41" s="48">
        <v>3500</v>
      </c>
      <c r="K41" s="8" t="s">
        <v>57</v>
      </c>
      <c r="L41" s="48">
        <v>4000</v>
      </c>
      <c r="M41" s="48"/>
      <c r="N41" s="8">
        <v>680</v>
      </c>
      <c r="O41" s="8" t="s">
        <v>58</v>
      </c>
      <c r="P41" s="15" t="str">
        <f t="shared" si="5"/>
        <v>Kolkata</v>
      </c>
      <c r="Q41" s="15" t="str">
        <f t="shared" si="6"/>
        <v>Internship</v>
      </c>
      <c r="R41" s="15" t="str">
        <f t="shared" si="7"/>
        <v>Food</v>
      </c>
      <c r="S41" s="15">
        <f t="shared" si="8"/>
        <v>0</v>
      </c>
      <c r="T41" s="15" t="str">
        <f t="shared" si="9"/>
        <v>Cash</v>
      </c>
    </row>
    <row r="42" spans="1:20" ht="15" customHeight="1" x14ac:dyDescent="0.25">
      <c r="A42" s="8" t="s">
        <v>166</v>
      </c>
      <c r="B42" s="9">
        <v>45747</v>
      </c>
      <c r="C42" s="8" t="s">
        <v>60</v>
      </c>
      <c r="D42" s="8" t="s">
        <v>167</v>
      </c>
      <c r="E42" s="8">
        <v>45</v>
      </c>
      <c r="F42" s="8" t="s">
        <v>62</v>
      </c>
      <c r="G42" s="8" t="s">
        <v>63</v>
      </c>
      <c r="H42" s="48">
        <v>158000</v>
      </c>
      <c r="I42" s="8" t="s">
        <v>77</v>
      </c>
      <c r="J42" s="48">
        <v>9100</v>
      </c>
      <c r="K42" s="8" t="s">
        <v>65</v>
      </c>
      <c r="L42" s="48">
        <v>54000</v>
      </c>
      <c r="M42" s="48">
        <v>8000</v>
      </c>
      <c r="N42" s="8">
        <v>822</v>
      </c>
      <c r="O42" s="8" t="s">
        <v>66</v>
      </c>
      <c r="P42" s="15" t="str">
        <f t="shared" si="5"/>
        <v>Bangalore</v>
      </c>
      <c r="Q42" s="15" t="str">
        <f t="shared" si="6"/>
        <v>Business</v>
      </c>
      <c r="R42" s="15" t="str">
        <f t="shared" si="7"/>
        <v>Healthcare</v>
      </c>
      <c r="S42" s="15">
        <f t="shared" si="8"/>
        <v>8000</v>
      </c>
      <c r="T42" s="15" t="str">
        <f t="shared" si="9"/>
        <v>NetBanking</v>
      </c>
    </row>
    <row r="43" spans="1:20" ht="15" customHeight="1" x14ac:dyDescent="0.25">
      <c r="A43" s="8" t="s">
        <v>168</v>
      </c>
      <c r="B43" s="9">
        <v>45748</v>
      </c>
      <c r="C43" s="8" t="s">
        <v>68</v>
      </c>
      <c r="D43" s="8" t="s">
        <v>169</v>
      </c>
      <c r="E43" s="8">
        <v>30</v>
      </c>
      <c r="F43" s="8" t="s">
        <v>41</v>
      </c>
      <c r="G43" s="8"/>
      <c r="H43" s="48">
        <v>73000</v>
      </c>
      <c r="I43" s="8" t="s">
        <v>96</v>
      </c>
      <c r="J43" s="48">
        <v>7900</v>
      </c>
      <c r="K43" s="8"/>
      <c r="L43" s="48">
        <v>13500</v>
      </c>
      <c r="M43" s="48">
        <v>4000</v>
      </c>
      <c r="N43" s="8">
        <v>736</v>
      </c>
      <c r="O43" s="8" t="s">
        <v>53</v>
      </c>
      <c r="P43" s="15" t="str">
        <f t="shared" si="5"/>
        <v>Kolkata</v>
      </c>
      <c r="Q43" s="15" t="str">
        <f t="shared" si="6"/>
        <v>Unknown</v>
      </c>
      <c r="R43" s="15" t="str">
        <f t="shared" si="7"/>
        <v>Shopping</v>
      </c>
      <c r="S43" s="15">
        <f t="shared" si="8"/>
        <v>4000</v>
      </c>
      <c r="T43" s="15" t="str">
        <f t="shared" si="9"/>
        <v>Cash/UPI</v>
      </c>
    </row>
    <row r="44" spans="1:20" ht="15" customHeight="1" x14ac:dyDescent="0.25">
      <c r="A44" s="8" t="s">
        <v>170</v>
      </c>
      <c r="B44" s="9">
        <v>45749</v>
      </c>
      <c r="C44" s="8" t="s">
        <v>74</v>
      </c>
      <c r="D44" s="8" t="s">
        <v>171</v>
      </c>
      <c r="E44" s="8">
        <v>36</v>
      </c>
      <c r="F44" s="8" t="s">
        <v>49</v>
      </c>
      <c r="G44" s="8" t="s">
        <v>42</v>
      </c>
      <c r="H44" s="48">
        <v>86000</v>
      </c>
      <c r="I44" s="8"/>
      <c r="J44" s="48">
        <v>9700</v>
      </c>
      <c r="K44" s="8" t="s">
        <v>52</v>
      </c>
      <c r="L44" s="48">
        <v>19000</v>
      </c>
      <c r="M44" s="48">
        <v>10000</v>
      </c>
      <c r="N44" s="8">
        <v>748</v>
      </c>
      <c r="O44" s="8" t="s">
        <v>53</v>
      </c>
      <c r="P44" s="15" t="str">
        <f t="shared" si="5"/>
        <v>Mumbai</v>
      </c>
      <c r="Q44" s="15" t="str">
        <f t="shared" si="6"/>
        <v>Salary</v>
      </c>
      <c r="R44" s="15" t="str">
        <f t="shared" si="7"/>
        <v>Unknown</v>
      </c>
      <c r="S44" s="15">
        <f t="shared" si="8"/>
        <v>10000</v>
      </c>
      <c r="T44" s="15" t="str">
        <f t="shared" si="9"/>
        <v>Card</v>
      </c>
    </row>
    <row r="45" spans="1:20" ht="15" customHeight="1" x14ac:dyDescent="0.25">
      <c r="A45" s="8" t="s">
        <v>172</v>
      </c>
      <c r="B45" s="9">
        <v>45750</v>
      </c>
      <c r="C45" s="8" t="s">
        <v>79</v>
      </c>
      <c r="D45" s="8" t="s">
        <v>173</v>
      </c>
      <c r="E45" s="8">
        <v>27</v>
      </c>
      <c r="F45" s="8" t="s">
        <v>41</v>
      </c>
      <c r="G45" s="8" t="s">
        <v>50</v>
      </c>
      <c r="H45" s="48">
        <v>52000</v>
      </c>
      <c r="I45" s="8" t="s">
        <v>71</v>
      </c>
      <c r="J45" s="48">
        <v>4500</v>
      </c>
      <c r="K45" s="8" t="s">
        <v>44</v>
      </c>
      <c r="L45" s="48">
        <v>6500</v>
      </c>
      <c r="M45" s="48"/>
      <c r="N45" s="8">
        <v>696</v>
      </c>
      <c r="O45" s="8" t="s">
        <v>58</v>
      </c>
      <c r="P45" s="15" t="str">
        <f t="shared" si="5"/>
        <v>Kolkata</v>
      </c>
      <c r="Q45" s="15" t="str">
        <f t="shared" si="6"/>
        <v>Freelancing</v>
      </c>
      <c r="R45" s="15" t="str">
        <f t="shared" si="7"/>
        <v>Entertainment</v>
      </c>
      <c r="S45" s="15">
        <f t="shared" si="8"/>
        <v>0</v>
      </c>
      <c r="T45" s="15" t="str">
        <f t="shared" si="9"/>
        <v>UPI</v>
      </c>
    </row>
    <row r="46" spans="1:20" ht="15" customHeight="1" x14ac:dyDescent="0.25">
      <c r="A46" s="8" t="s">
        <v>174</v>
      </c>
      <c r="B46" s="9">
        <v>45751</v>
      </c>
      <c r="C46" s="8" t="s">
        <v>84</v>
      </c>
      <c r="D46" s="8" t="s">
        <v>175</v>
      </c>
      <c r="E46" s="8">
        <v>41</v>
      </c>
      <c r="F46" s="8" t="s">
        <v>104</v>
      </c>
      <c r="G46" s="8" t="s">
        <v>63</v>
      </c>
      <c r="H46" s="48">
        <v>139000</v>
      </c>
      <c r="I46" s="8" t="s">
        <v>100</v>
      </c>
      <c r="J46" s="48">
        <v>35000</v>
      </c>
      <c r="K46" s="8" t="s">
        <v>82</v>
      </c>
      <c r="L46" s="48">
        <v>42000</v>
      </c>
      <c r="M46" s="48">
        <v>18000</v>
      </c>
      <c r="N46" s="8">
        <v>801</v>
      </c>
      <c r="O46" s="8" t="s">
        <v>66</v>
      </c>
      <c r="P46" s="15" t="str">
        <f t="shared" si="5"/>
        <v>Delhi</v>
      </c>
      <c r="Q46" s="15" t="str">
        <f t="shared" si="6"/>
        <v>Business</v>
      </c>
      <c r="R46" s="15" t="str">
        <f t="shared" si="7"/>
        <v>Investment</v>
      </c>
      <c r="S46" s="15">
        <f t="shared" si="8"/>
        <v>18000</v>
      </c>
      <c r="T46" s="15" t="str">
        <f t="shared" si="9"/>
        <v>Cheque</v>
      </c>
    </row>
    <row r="47" spans="1:20" ht="15" customHeight="1" x14ac:dyDescent="0.25">
      <c r="A47" s="8" t="s">
        <v>176</v>
      </c>
      <c r="B47" s="9">
        <v>45752</v>
      </c>
      <c r="C47" s="8" t="s">
        <v>89</v>
      </c>
      <c r="D47" s="8" t="s">
        <v>177</v>
      </c>
      <c r="E47" s="8">
        <v>31</v>
      </c>
      <c r="F47" s="8" t="s">
        <v>41</v>
      </c>
      <c r="G47" s="8" t="s">
        <v>42</v>
      </c>
      <c r="H47" s="48">
        <v>71000</v>
      </c>
      <c r="I47" s="8" t="s">
        <v>64</v>
      </c>
      <c r="J47" s="48">
        <v>6100</v>
      </c>
      <c r="K47" s="8" t="s">
        <v>52</v>
      </c>
      <c r="L47" s="48">
        <v>14000</v>
      </c>
      <c r="M47" s="48">
        <v>3500</v>
      </c>
      <c r="N47" s="8">
        <v>734</v>
      </c>
      <c r="O47" s="8" t="s">
        <v>53</v>
      </c>
      <c r="P47" s="15" t="str">
        <f t="shared" si="5"/>
        <v>Kolkata</v>
      </c>
      <c r="Q47" s="15" t="str">
        <f t="shared" si="6"/>
        <v>Salary</v>
      </c>
      <c r="R47" s="15" t="str">
        <f t="shared" si="7"/>
        <v>Utilities</v>
      </c>
      <c r="S47" s="15">
        <f t="shared" si="8"/>
        <v>3500</v>
      </c>
      <c r="T47" s="15" t="str">
        <f t="shared" si="9"/>
        <v>Card</v>
      </c>
    </row>
    <row r="48" spans="1:20" ht="15" customHeight="1" x14ac:dyDescent="0.25">
      <c r="A48" s="8" t="s">
        <v>178</v>
      </c>
      <c r="B48" s="9">
        <v>45753</v>
      </c>
      <c r="C48" s="8" t="s">
        <v>93</v>
      </c>
      <c r="D48" s="8" t="s">
        <v>179</v>
      </c>
      <c r="E48" s="8">
        <v>28</v>
      </c>
      <c r="F48" s="8"/>
      <c r="G48" s="8" t="s">
        <v>42</v>
      </c>
      <c r="H48" s="48">
        <v>67000</v>
      </c>
      <c r="I48" s="8" t="s">
        <v>43</v>
      </c>
      <c r="J48" s="48">
        <v>19500</v>
      </c>
      <c r="K48" s="8" t="s">
        <v>44</v>
      </c>
      <c r="L48" s="48">
        <v>10500</v>
      </c>
      <c r="M48" s="48">
        <v>4500</v>
      </c>
      <c r="N48" s="8">
        <v>718</v>
      </c>
      <c r="O48" s="8" t="s">
        <v>45</v>
      </c>
      <c r="P48" s="15" t="str">
        <f t="shared" si="5"/>
        <v>Unknown</v>
      </c>
      <c r="Q48" s="15" t="str">
        <f t="shared" si="6"/>
        <v>Salary</v>
      </c>
      <c r="R48" s="15" t="str">
        <f t="shared" si="7"/>
        <v>Rent</v>
      </c>
      <c r="S48" s="15">
        <f t="shared" si="8"/>
        <v>4500</v>
      </c>
      <c r="T48" s="15" t="str">
        <f t="shared" si="9"/>
        <v>UPI</v>
      </c>
    </row>
    <row r="49" spans="1:20" ht="15" customHeight="1" x14ac:dyDescent="0.25">
      <c r="A49" s="8" t="s">
        <v>180</v>
      </c>
      <c r="B49" s="9">
        <v>45754</v>
      </c>
      <c r="C49" s="8" t="s">
        <v>98</v>
      </c>
      <c r="D49" s="8" t="s">
        <v>181</v>
      </c>
      <c r="E49" s="8">
        <v>25</v>
      </c>
      <c r="F49" s="8" t="s">
        <v>41</v>
      </c>
      <c r="G49" s="8" t="s">
        <v>86</v>
      </c>
      <c r="H49" s="48">
        <v>31000</v>
      </c>
      <c r="I49" s="8" t="s">
        <v>87</v>
      </c>
      <c r="J49" s="48">
        <v>3900</v>
      </c>
      <c r="K49" s="8" t="s">
        <v>57</v>
      </c>
      <c r="L49" s="48">
        <v>3000</v>
      </c>
      <c r="M49" s="48"/>
      <c r="N49" s="8">
        <v>677</v>
      </c>
      <c r="O49" s="8" t="s">
        <v>58</v>
      </c>
      <c r="P49" s="15" t="str">
        <f t="shared" si="5"/>
        <v>Kolkata</v>
      </c>
      <c r="Q49" s="15" t="str">
        <f t="shared" si="6"/>
        <v>Internship</v>
      </c>
      <c r="R49" s="15" t="str">
        <f t="shared" si="7"/>
        <v>Education</v>
      </c>
      <c r="S49" s="15">
        <f t="shared" si="8"/>
        <v>0</v>
      </c>
      <c r="T49" s="15" t="str">
        <f t="shared" si="9"/>
        <v>Cash</v>
      </c>
    </row>
    <row r="50" spans="1:20" ht="15" customHeight="1" x14ac:dyDescent="0.25">
      <c r="A50" s="8" t="s">
        <v>182</v>
      </c>
      <c r="B50" s="9">
        <v>45755</v>
      </c>
      <c r="C50" s="8" t="s">
        <v>102</v>
      </c>
      <c r="D50" s="8" t="s">
        <v>183</v>
      </c>
      <c r="E50" s="8">
        <v>43</v>
      </c>
      <c r="F50" s="8" t="s">
        <v>124</v>
      </c>
      <c r="G50" s="8" t="s">
        <v>63</v>
      </c>
      <c r="H50" s="48">
        <v>148000</v>
      </c>
      <c r="I50" s="8" t="s">
        <v>77</v>
      </c>
      <c r="J50" s="48">
        <v>8300</v>
      </c>
      <c r="K50" s="8" t="s">
        <v>65</v>
      </c>
      <c r="L50" s="48">
        <v>49000</v>
      </c>
      <c r="M50" s="48">
        <v>22000</v>
      </c>
      <c r="N50" s="8">
        <v>814</v>
      </c>
      <c r="O50" s="8" t="s">
        <v>66</v>
      </c>
      <c r="P50" s="15" t="str">
        <f t="shared" si="5"/>
        <v>Ahmedabad</v>
      </c>
      <c r="Q50" s="15" t="str">
        <f t="shared" si="6"/>
        <v>Business</v>
      </c>
      <c r="R50" s="15" t="str">
        <f t="shared" si="7"/>
        <v>Healthcare</v>
      </c>
      <c r="S50" s="15">
        <f t="shared" si="8"/>
        <v>22000</v>
      </c>
      <c r="T50" s="15" t="str">
        <f t="shared" si="9"/>
        <v>NetBanking</v>
      </c>
    </row>
    <row r="51" spans="1:20" ht="15" customHeight="1" x14ac:dyDescent="0.25">
      <c r="A51" s="8" t="s">
        <v>184</v>
      </c>
      <c r="B51" s="9">
        <v>45756</v>
      </c>
      <c r="C51" s="8" t="s">
        <v>39</v>
      </c>
      <c r="D51" s="8" t="s">
        <v>185</v>
      </c>
      <c r="E51" s="8">
        <v>30</v>
      </c>
      <c r="F51" s="8" t="s">
        <v>41</v>
      </c>
      <c r="G51" s="8" t="s">
        <v>42</v>
      </c>
      <c r="H51" s="48">
        <v>72000</v>
      </c>
      <c r="I51" s="8" t="s">
        <v>96</v>
      </c>
      <c r="J51" s="48">
        <v>7400</v>
      </c>
      <c r="K51" s="8" t="s">
        <v>44</v>
      </c>
      <c r="L51" s="48">
        <v>13200</v>
      </c>
      <c r="M51" s="48">
        <v>3000</v>
      </c>
      <c r="N51" s="8">
        <v>731</v>
      </c>
      <c r="O51" s="8" t="s">
        <v>53</v>
      </c>
      <c r="P51" s="15" t="str">
        <f t="shared" si="5"/>
        <v>Kolkata</v>
      </c>
      <c r="Q51" s="15" t="str">
        <f t="shared" si="6"/>
        <v>Salary</v>
      </c>
      <c r="R51" s="15" t="str">
        <f t="shared" si="7"/>
        <v>Shopping</v>
      </c>
      <c r="S51" s="15">
        <f t="shared" si="8"/>
        <v>3000</v>
      </c>
      <c r="T51" s="15" t="str">
        <f t="shared" si="9"/>
        <v>UPI</v>
      </c>
    </row>
    <row r="52" spans="1:20" ht="15" customHeight="1" x14ac:dyDescent="0.25">
      <c r="A52" s="8" t="s">
        <v>186</v>
      </c>
      <c r="B52" s="9">
        <v>45757</v>
      </c>
      <c r="C52" s="8" t="s">
        <v>47</v>
      </c>
      <c r="D52" s="8" t="s">
        <v>187</v>
      </c>
      <c r="E52" s="8">
        <v>35</v>
      </c>
      <c r="F52" s="8" t="s">
        <v>104</v>
      </c>
      <c r="G52" s="8"/>
      <c r="H52" s="48">
        <v>80000</v>
      </c>
      <c r="I52" s="8" t="s">
        <v>139</v>
      </c>
      <c r="J52" s="48">
        <v>10100</v>
      </c>
      <c r="K52" s="8" t="s">
        <v>52</v>
      </c>
      <c r="L52" s="48">
        <v>17500</v>
      </c>
      <c r="M52" s="48">
        <v>9000</v>
      </c>
      <c r="N52" s="8">
        <v>744</v>
      </c>
      <c r="O52" s="8" t="s">
        <v>53</v>
      </c>
      <c r="P52" s="15" t="str">
        <f t="shared" si="5"/>
        <v>Delhi</v>
      </c>
      <c r="Q52" s="15" t="str">
        <f t="shared" si="6"/>
        <v>Unknown</v>
      </c>
      <c r="R52" s="15" t="str">
        <f t="shared" si="7"/>
        <v>Travel</v>
      </c>
      <c r="S52" s="15">
        <f t="shared" si="8"/>
        <v>9000</v>
      </c>
      <c r="T52" s="15" t="str">
        <f t="shared" si="9"/>
        <v>Card</v>
      </c>
    </row>
    <row r="53" spans="1:20" ht="15" customHeight="1" x14ac:dyDescent="0.25">
      <c r="A53" s="8" t="s">
        <v>188</v>
      </c>
      <c r="B53" s="9">
        <v>45758</v>
      </c>
      <c r="C53" s="8" t="s">
        <v>55</v>
      </c>
      <c r="D53" s="8" t="s">
        <v>189</v>
      </c>
      <c r="E53" s="8">
        <v>27</v>
      </c>
      <c r="F53" s="8" t="s">
        <v>41</v>
      </c>
      <c r="G53" s="8" t="s">
        <v>50</v>
      </c>
      <c r="H53" s="48">
        <v>54000</v>
      </c>
      <c r="I53" s="8" t="s">
        <v>105</v>
      </c>
      <c r="J53" s="48">
        <v>5100</v>
      </c>
      <c r="K53" s="8" t="s">
        <v>44</v>
      </c>
      <c r="L53" s="48">
        <v>7200</v>
      </c>
      <c r="M53" s="48"/>
      <c r="N53" s="8">
        <v>700</v>
      </c>
      <c r="O53" s="8" t="s">
        <v>45</v>
      </c>
      <c r="P53" s="15" t="str">
        <f t="shared" si="5"/>
        <v>Kolkata</v>
      </c>
      <c r="Q53" s="15" t="str">
        <f t="shared" si="6"/>
        <v>Freelancing</v>
      </c>
      <c r="R53" s="15" t="str">
        <f t="shared" si="7"/>
        <v>Food</v>
      </c>
      <c r="S53" s="15">
        <f t="shared" si="8"/>
        <v>0</v>
      </c>
      <c r="T53" s="15" t="str">
        <f t="shared" si="9"/>
        <v>UPI</v>
      </c>
    </row>
    <row r="54" spans="1:20" ht="15" customHeight="1" x14ac:dyDescent="0.25">
      <c r="A54" s="8" t="s">
        <v>190</v>
      </c>
      <c r="B54" s="9">
        <v>45684</v>
      </c>
      <c r="C54" s="8" t="s">
        <v>60</v>
      </c>
      <c r="D54" s="8" t="s">
        <v>191</v>
      </c>
      <c r="E54" s="8">
        <v>30</v>
      </c>
      <c r="F54" s="8" t="s">
        <v>41</v>
      </c>
      <c r="G54" s="8" t="s">
        <v>42</v>
      </c>
      <c r="H54" s="48">
        <v>67000</v>
      </c>
      <c r="I54" s="8" t="s">
        <v>77</v>
      </c>
      <c r="J54" s="48">
        <v>3400</v>
      </c>
      <c r="K54" s="8" t="s">
        <v>44</v>
      </c>
      <c r="L54" s="48">
        <v>14000</v>
      </c>
      <c r="M54" s="48">
        <v>2500</v>
      </c>
      <c r="N54" s="8">
        <v>738</v>
      </c>
      <c r="O54" s="8" t="s">
        <v>53</v>
      </c>
      <c r="P54" s="15" t="str">
        <f t="shared" si="5"/>
        <v>Kolkata</v>
      </c>
      <c r="Q54" s="15" t="str">
        <f t="shared" si="6"/>
        <v>Salary</v>
      </c>
      <c r="R54" s="15" t="str">
        <f t="shared" si="7"/>
        <v>Healthcare</v>
      </c>
      <c r="S54" s="15">
        <f t="shared" si="8"/>
        <v>2500</v>
      </c>
      <c r="T54" s="15" t="str">
        <f t="shared" si="9"/>
        <v>UPI</v>
      </c>
    </row>
    <row r="55" spans="1:20" ht="15" customHeight="1" x14ac:dyDescent="0.25">
      <c r="A55" s="8" t="s">
        <v>192</v>
      </c>
      <c r="B55" s="9">
        <v>45685</v>
      </c>
      <c r="C55" s="8" t="s">
        <v>68</v>
      </c>
      <c r="D55" s="8" t="s">
        <v>193</v>
      </c>
      <c r="E55" s="8">
        <v>27</v>
      </c>
      <c r="F55" s="8" t="s">
        <v>104</v>
      </c>
      <c r="G55" s="8" t="s">
        <v>50</v>
      </c>
      <c r="H55" s="48">
        <v>51000</v>
      </c>
      <c r="I55" s="8"/>
      <c r="J55" s="48">
        <v>4700</v>
      </c>
      <c r="K55" s="8" t="s">
        <v>57</v>
      </c>
      <c r="L55" s="48">
        <v>6000</v>
      </c>
      <c r="M55" s="48"/>
      <c r="N55" s="8">
        <v>688</v>
      </c>
      <c r="O55" s="8" t="s">
        <v>58</v>
      </c>
      <c r="P55" s="15" t="str">
        <f t="shared" si="5"/>
        <v>Delhi</v>
      </c>
      <c r="Q55" s="15" t="str">
        <f t="shared" si="6"/>
        <v>Freelancing</v>
      </c>
      <c r="R55" s="15" t="str">
        <f t="shared" si="7"/>
        <v>Unknown</v>
      </c>
      <c r="S55" s="15">
        <f t="shared" si="8"/>
        <v>0</v>
      </c>
      <c r="T55" s="15" t="str">
        <f t="shared" si="9"/>
        <v>Cash</v>
      </c>
    </row>
    <row r="56" spans="1:20" ht="15" customHeight="1" x14ac:dyDescent="0.25">
      <c r="A56" s="8" t="s">
        <v>194</v>
      </c>
      <c r="B56" s="9">
        <v>45686</v>
      </c>
      <c r="C56" s="8" t="s">
        <v>74</v>
      </c>
      <c r="D56" s="8" t="s">
        <v>195</v>
      </c>
      <c r="E56" s="8">
        <v>35</v>
      </c>
      <c r="F56" s="8" t="s">
        <v>62</v>
      </c>
      <c r="G56" s="8" t="s">
        <v>63</v>
      </c>
      <c r="H56" s="48">
        <v>118000</v>
      </c>
      <c r="I56" s="8" t="s">
        <v>43</v>
      </c>
      <c r="J56" s="48">
        <v>28000</v>
      </c>
      <c r="K56" s="8"/>
      <c r="L56" s="48">
        <v>32000</v>
      </c>
      <c r="M56" s="48">
        <v>14000</v>
      </c>
      <c r="N56" s="8">
        <v>799</v>
      </c>
      <c r="O56" s="8" t="s">
        <v>66</v>
      </c>
      <c r="P56" s="15" t="str">
        <f t="shared" si="5"/>
        <v>Bangalore</v>
      </c>
      <c r="Q56" s="15" t="str">
        <f t="shared" si="6"/>
        <v>Business</v>
      </c>
      <c r="R56" s="15" t="str">
        <f t="shared" si="7"/>
        <v>Rent</v>
      </c>
      <c r="S56" s="15">
        <f t="shared" si="8"/>
        <v>14000</v>
      </c>
      <c r="T56" s="15" t="str">
        <f t="shared" si="9"/>
        <v>Cash/UPI</v>
      </c>
    </row>
    <row r="57" spans="1:20" ht="15" customHeight="1" x14ac:dyDescent="0.25">
      <c r="A57" s="8" t="s">
        <v>196</v>
      </c>
      <c r="B57" s="9">
        <v>45687</v>
      </c>
      <c r="C57" s="8" t="s">
        <v>79</v>
      </c>
      <c r="D57" s="8" t="s">
        <v>197</v>
      </c>
      <c r="E57" s="8">
        <v>44</v>
      </c>
      <c r="F57" s="8"/>
      <c r="G57" s="8" t="s">
        <v>42</v>
      </c>
      <c r="H57" s="48">
        <v>83000</v>
      </c>
      <c r="I57" s="8" t="s">
        <v>64</v>
      </c>
      <c r="J57" s="48">
        <v>7200</v>
      </c>
      <c r="K57" s="8" t="s">
        <v>65</v>
      </c>
      <c r="L57" s="48">
        <v>18000</v>
      </c>
      <c r="M57" s="48">
        <v>10000</v>
      </c>
      <c r="N57" s="8">
        <v>712</v>
      </c>
      <c r="O57" s="8" t="s">
        <v>45</v>
      </c>
      <c r="P57" s="15" t="str">
        <f t="shared" si="5"/>
        <v>Unknown</v>
      </c>
      <c r="Q57" s="15" t="str">
        <f t="shared" si="6"/>
        <v>Salary</v>
      </c>
      <c r="R57" s="15" t="str">
        <f t="shared" si="7"/>
        <v>Utilities</v>
      </c>
      <c r="S57" s="15">
        <f t="shared" si="8"/>
        <v>10000</v>
      </c>
      <c r="T57" s="15" t="str">
        <f t="shared" si="9"/>
        <v>NetBanking</v>
      </c>
    </row>
    <row r="58" spans="1:20" ht="15" customHeight="1" x14ac:dyDescent="0.25">
      <c r="A58" s="8" t="s">
        <v>198</v>
      </c>
      <c r="B58" s="9">
        <v>45688</v>
      </c>
      <c r="C58" s="8" t="s">
        <v>84</v>
      </c>
      <c r="D58" s="8" t="s">
        <v>199</v>
      </c>
      <c r="E58" s="8">
        <v>26</v>
      </c>
      <c r="F58" s="8" t="s">
        <v>41</v>
      </c>
      <c r="G58" s="8" t="s">
        <v>86</v>
      </c>
      <c r="H58" s="48">
        <v>31000</v>
      </c>
      <c r="I58" s="8" t="s">
        <v>87</v>
      </c>
      <c r="J58" s="48">
        <v>3800</v>
      </c>
      <c r="K58" s="8" t="s">
        <v>44</v>
      </c>
      <c r="L58" s="48">
        <v>4500</v>
      </c>
      <c r="M58" s="48"/>
      <c r="N58" s="8">
        <v>675</v>
      </c>
      <c r="O58" s="8" t="s">
        <v>58</v>
      </c>
      <c r="P58" s="15" t="str">
        <f t="shared" si="5"/>
        <v>Kolkata</v>
      </c>
      <c r="Q58" s="15" t="str">
        <f t="shared" si="6"/>
        <v>Internship</v>
      </c>
      <c r="R58" s="15" t="str">
        <f t="shared" si="7"/>
        <v>Education</v>
      </c>
      <c r="S58" s="15">
        <f t="shared" si="8"/>
        <v>0</v>
      </c>
      <c r="T58" s="15" t="str">
        <f t="shared" si="9"/>
        <v>UPI</v>
      </c>
    </row>
    <row r="59" spans="1:20" ht="15" customHeight="1" x14ac:dyDescent="0.25">
      <c r="A59" s="8" t="s">
        <v>200</v>
      </c>
      <c r="B59" s="9">
        <v>45689</v>
      </c>
      <c r="C59" s="8" t="s">
        <v>89</v>
      </c>
      <c r="D59" s="8" t="s">
        <v>201</v>
      </c>
      <c r="E59" s="8">
        <v>33</v>
      </c>
      <c r="F59" s="8" t="s">
        <v>49</v>
      </c>
      <c r="G59" s="8" t="s">
        <v>42</v>
      </c>
      <c r="H59" s="48">
        <v>78000</v>
      </c>
      <c r="I59" s="8" t="s">
        <v>139</v>
      </c>
      <c r="J59" s="48">
        <v>9100</v>
      </c>
      <c r="K59" s="8" t="s">
        <v>52</v>
      </c>
      <c r="L59" s="48">
        <v>13000</v>
      </c>
      <c r="M59" s="48">
        <v>5000</v>
      </c>
      <c r="N59" s="8">
        <v>741</v>
      </c>
      <c r="O59" s="8" t="s">
        <v>53</v>
      </c>
      <c r="P59" s="15" t="str">
        <f t="shared" si="5"/>
        <v>Mumbai</v>
      </c>
      <c r="Q59" s="15" t="str">
        <f t="shared" si="6"/>
        <v>Salary</v>
      </c>
      <c r="R59" s="15" t="str">
        <f t="shared" si="7"/>
        <v>Travel</v>
      </c>
      <c r="S59" s="15">
        <f t="shared" si="8"/>
        <v>5000</v>
      </c>
      <c r="T59" s="15" t="str">
        <f t="shared" si="9"/>
        <v>Card</v>
      </c>
    </row>
    <row r="60" spans="1:20" ht="15" customHeight="1" x14ac:dyDescent="0.25">
      <c r="A60" s="8" t="s">
        <v>202</v>
      </c>
      <c r="B60" s="9">
        <v>45690</v>
      </c>
      <c r="C60" s="8" t="s">
        <v>93</v>
      </c>
      <c r="D60" s="8" t="s">
        <v>203</v>
      </c>
      <c r="E60" s="8">
        <v>29</v>
      </c>
      <c r="F60" s="8" t="s">
        <v>95</v>
      </c>
      <c r="G60" s="8" t="s">
        <v>50</v>
      </c>
      <c r="H60" s="48">
        <v>56000</v>
      </c>
      <c r="I60" s="8" t="s">
        <v>96</v>
      </c>
      <c r="J60" s="48">
        <v>6900</v>
      </c>
      <c r="K60" s="8" t="s">
        <v>44</v>
      </c>
      <c r="L60" s="48">
        <v>8000</v>
      </c>
      <c r="M60" s="48">
        <v>7000</v>
      </c>
      <c r="N60" s="8">
        <v>701</v>
      </c>
      <c r="O60" s="8" t="s">
        <v>45</v>
      </c>
      <c r="P60" s="15" t="str">
        <f t="shared" si="5"/>
        <v>Jaipur</v>
      </c>
      <c r="Q60" s="15" t="str">
        <f t="shared" si="6"/>
        <v>Freelancing</v>
      </c>
      <c r="R60" s="15" t="str">
        <f t="shared" si="7"/>
        <v>Shopping</v>
      </c>
      <c r="S60" s="15">
        <f t="shared" si="8"/>
        <v>7000</v>
      </c>
      <c r="T60" s="15" t="str">
        <f t="shared" si="9"/>
        <v>UPI</v>
      </c>
    </row>
    <row r="61" spans="1:20" ht="15" customHeight="1" x14ac:dyDescent="0.25">
      <c r="A61" s="8" t="s">
        <v>204</v>
      </c>
      <c r="B61" s="9">
        <v>45691</v>
      </c>
      <c r="C61" s="8" t="s">
        <v>98</v>
      </c>
      <c r="D61" s="8" t="s">
        <v>205</v>
      </c>
      <c r="E61" s="8">
        <v>39</v>
      </c>
      <c r="F61" s="8" t="s">
        <v>104</v>
      </c>
      <c r="G61" s="8"/>
      <c r="H61" s="48">
        <v>138000</v>
      </c>
      <c r="I61" s="8" t="s">
        <v>100</v>
      </c>
      <c r="J61" s="48">
        <v>32000</v>
      </c>
      <c r="K61" s="8" t="s">
        <v>65</v>
      </c>
      <c r="L61" s="48">
        <v>41000</v>
      </c>
      <c r="M61" s="48">
        <v>18000</v>
      </c>
      <c r="N61" s="8">
        <v>807</v>
      </c>
      <c r="O61" s="8" t="s">
        <v>66</v>
      </c>
      <c r="P61" s="15" t="str">
        <f t="shared" si="5"/>
        <v>Delhi</v>
      </c>
      <c r="Q61" s="15" t="str">
        <f t="shared" si="6"/>
        <v>Unknown</v>
      </c>
      <c r="R61" s="15" t="str">
        <f t="shared" si="7"/>
        <v>Investment</v>
      </c>
      <c r="S61" s="15">
        <f t="shared" si="8"/>
        <v>18000</v>
      </c>
      <c r="T61" s="15" t="str">
        <f t="shared" si="9"/>
        <v>NetBanking</v>
      </c>
    </row>
    <row r="62" spans="1:20" ht="15" customHeight="1" x14ac:dyDescent="0.25">
      <c r="A62" s="8" t="s">
        <v>206</v>
      </c>
      <c r="B62" s="9">
        <v>45692</v>
      </c>
      <c r="C62" s="8" t="s">
        <v>102</v>
      </c>
      <c r="D62" s="8" t="s">
        <v>207</v>
      </c>
      <c r="E62" s="8">
        <v>31</v>
      </c>
      <c r="F62" s="8" t="s">
        <v>41</v>
      </c>
      <c r="G62" s="8" t="s">
        <v>42</v>
      </c>
      <c r="H62" s="48">
        <v>69000</v>
      </c>
      <c r="I62" s="8" t="s">
        <v>51</v>
      </c>
      <c r="J62" s="48">
        <v>6400</v>
      </c>
      <c r="K62" s="8" t="s">
        <v>52</v>
      </c>
      <c r="L62" s="48">
        <v>12000</v>
      </c>
      <c r="M62" s="48">
        <v>3000</v>
      </c>
      <c r="N62" s="8">
        <v>728</v>
      </c>
      <c r="O62" s="8" t="s">
        <v>53</v>
      </c>
      <c r="P62" s="15" t="str">
        <f t="shared" si="5"/>
        <v>Kolkata</v>
      </c>
      <c r="Q62" s="15" t="str">
        <f t="shared" si="6"/>
        <v>Salary</v>
      </c>
      <c r="R62" s="15" t="str">
        <f t="shared" si="7"/>
        <v>Groceries</v>
      </c>
      <c r="S62" s="15">
        <f t="shared" si="8"/>
        <v>3000</v>
      </c>
      <c r="T62" s="15" t="str">
        <f t="shared" si="9"/>
        <v>Card</v>
      </c>
    </row>
    <row r="63" spans="1:20" ht="15" customHeight="1" x14ac:dyDescent="0.25">
      <c r="A63" s="8" t="s">
        <v>208</v>
      </c>
      <c r="B63" s="9">
        <v>45693</v>
      </c>
      <c r="C63" s="8" t="s">
        <v>39</v>
      </c>
      <c r="D63" s="8" t="s">
        <v>209</v>
      </c>
      <c r="E63" s="8">
        <v>28</v>
      </c>
      <c r="F63" s="8" t="s">
        <v>41</v>
      </c>
      <c r="G63" s="8" t="s">
        <v>42</v>
      </c>
      <c r="H63" s="48">
        <v>62000</v>
      </c>
      <c r="I63" s="8" t="s">
        <v>43</v>
      </c>
      <c r="J63" s="48">
        <v>19000</v>
      </c>
      <c r="K63" s="8" t="s">
        <v>44</v>
      </c>
      <c r="L63" s="48">
        <v>10000</v>
      </c>
      <c r="M63" s="48">
        <v>4000</v>
      </c>
      <c r="N63" s="8">
        <v>719</v>
      </c>
      <c r="O63" s="8" t="s">
        <v>45</v>
      </c>
      <c r="P63" s="15" t="str">
        <f t="shared" si="5"/>
        <v>Kolkata</v>
      </c>
      <c r="Q63" s="15" t="str">
        <f t="shared" si="6"/>
        <v>Salary</v>
      </c>
      <c r="R63" s="15" t="str">
        <f t="shared" si="7"/>
        <v>Rent</v>
      </c>
      <c r="S63" s="15">
        <f t="shared" si="8"/>
        <v>4000</v>
      </c>
      <c r="T63" s="15" t="str">
        <f t="shared" si="9"/>
        <v>UPI</v>
      </c>
    </row>
    <row r="64" spans="1:20" ht="15" customHeight="1" x14ac:dyDescent="0.25">
      <c r="A64" s="8" t="s">
        <v>210</v>
      </c>
      <c r="B64" s="9">
        <v>45694</v>
      </c>
      <c r="C64" s="8" t="s">
        <v>47</v>
      </c>
      <c r="D64" s="8" t="s">
        <v>211</v>
      </c>
      <c r="E64" s="8">
        <v>36</v>
      </c>
      <c r="F64" s="8" t="s">
        <v>104</v>
      </c>
      <c r="G64" s="8" t="s">
        <v>42</v>
      </c>
      <c r="H64" s="48">
        <v>87000</v>
      </c>
      <c r="I64" s="8" t="s">
        <v>116</v>
      </c>
      <c r="J64" s="48">
        <v>4300</v>
      </c>
      <c r="K64" s="8" t="s">
        <v>57</v>
      </c>
      <c r="L64" s="48">
        <v>17000</v>
      </c>
      <c r="M64" s="48">
        <v>8500</v>
      </c>
      <c r="N64" s="8">
        <v>734</v>
      </c>
      <c r="O64" s="8" t="s">
        <v>53</v>
      </c>
      <c r="P64" s="15" t="str">
        <f t="shared" si="5"/>
        <v>Delhi</v>
      </c>
      <c r="Q64" s="15" t="str">
        <f t="shared" si="6"/>
        <v>Salary</v>
      </c>
      <c r="R64" s="15" t="str">
        <f t="shared" si="7"/>
        <v>Transport</v>
      </c>
      <c r="S64" s="15">
        <f t="shared" si="8"/>
        <v>8500</v>
      </c>
      <c r="T64" s="15" t="str">
        <f t="shared" si="9"/>
        <v>Cash</v>
      </c>
    </row>
    <row r="65" spans="1:20" ht="15" customHeight="1" x14ac:dyDescent="0.25">
      <c r="A65" s="8" t="s">
        <v>212</v>
      </c>
      <c r="B65" s="9">
        <v>45695</v>
      </c>
      <c r="C65" s="8" t="s">
        <v>55</v>
      </c>
      <c r="D65" s="8" t="s">
        <v>213</v>
      </c>
      <c r="E65" s="8">
        <v>24</v>
      </c>
      <c r="F65" s="8" t="s">
        <v>76</v>
      </c>
      <c r="G65" s="8" t="s">
        <v>86</v>
      </c>
      <c r="H65" s="48">
        <v>29000</v>
      </c>
      <c r="I65" s="8" t="s">
        <v>71</v>
      </c>
      <c r="J65" s="48">
        <v>3600</v>
      </c>
      <c r="K65" s="8" t="s">
        <v>44</v>
      </c>
      <c r="L65" s="48">
        <v>3000</v>
      </c>
      <c r="M65" s="48"/>
      <c r="N65" s="8">
        <v>682</v>
      </c>
      <c r="O65" s="8" t="s">
        <v>58</v>
      </c>
      <c r="P65" s="15" t="str">
        <f t="shared" si="5"/>
        <v>Pune</v>
      </c>
      <c r="Q65" s="15" t="str">
        <f t="shared" si="6"/>
        <v>Internship</v>
      </c>
      <c r="R65" s="15" t="str">
        <f t="shared" si="7"/>
        <v>Entertainment</v>
      </c>
      <c r="S65" s="15">
        <f t="shared" si="8"/>
        <v>0</v>
      </c>
      <c r="T65" s="15" t="str">
        <f t="shared" si="9"/>
        <v>UPI</v>
      </c>
    </row>
    <row r="66" spans="1:20" ht="15" customHeight="1" x14ac:dyDescent="0.25">
      <c r="A66" s="8" t="s">
        <v>214</v>
      </c>
      <c r="B66" s="9">
        <v>45696</v>
      </c>
      <c r="C66" s="8" t="s">
        <v>60</v>
      </c>
      <c r="D66" s="8" t="s">
        <v>215</v>
      </c>
      <c r="E66" s="8">
        <v>41</v>
      </c>
      <c r="F66" s="8" t="s">
        <v>124</v>
      </c>
      <c r="G66" s="8" t="s">
        <v>63</v>
      </c>
      <c r="H66" s="48">
        <v>128000</v>
      </c>
      <c r="I66" s="8" t="s">
        <v>77</v>
      </c>
      <c r="J66" s="48">
        <v>7600</v>
      </c>
      <c r="K66" s="8" t="s">
        <v>82</v>
      </c>
      <c r="L66" s="48">
        <v>35000</v>
      </c>
      <c r="M66" s="48">
        <v>16000</v>
      </c>
      <c r="N66" s="8">
        <v>792</v>
      </c>
      <c r="O66" s="8" t="s">
        <v>66</v>
      </c>
      <c r="P66" s="15" t="str">
        <f t="shared" si="5"/>
        <v>Ahmedabad</v>
      </c>
      <c r="Q66" s="15" t="str">
        <f t="shared" si="6"/>
        <v>Business</v>
      </c>
      <c r="R66" s="15" t="str">
        <f t="shared" si="7"/>
        <v>Healthcare</v>
      </c>
      <c r="S66" s="15">
        <f t="shared" si="8"/>
        <v>16000</v>
      </c>
      <c r="T66" s="15" t="str">
        <f t="shared" si="9"/>
        <v>Cheque</v>
      </c>
    </row>
    <row r="67" spans="1:20" ht="15" customHeight="1" x14ac:dyDescent="0.25">
      <c r="A67" s="8" t="s">
        <v>216</v>
      </c>
      <c r="B67" s="9">
        <v>45697</v>
      </c>
      <c r="C67" s="8" t="s">
        <v>68</v>
      </c>
      <c r="D67" s="8" t="s">
        <v>217</v>
      </c>
      <c r="E67" s="8">
        <v>32</v>
      </c>
      <c r="F67" s="8"/>
      <c r="G67" s="8" t="s">
        <v>42</v>
      </c>
      <c r="H67" s="48">
        <v>71000</v>
      </c>
      <c r="I67" s="8"/>
      <c r="J67" s="48">
        <v>6100</v>
      </c>
      <c r="K67" s="8" t="s">
        <v>52</v>
      </c>
      <c r="L67" s="48">
        <v>11000</v>
      </c>
      <c r="M67" s="48">
        <v>4500</v>
      </c>
      <c r="N67" s="8">
        <v>725</v>
      </c>
      <c r="O67" s="8" t="s">
        <v>53</v>
      </c>
      <c r="P67" s="15" t="str">
        <f t="shared" ref="P67:P100" si="10">IF(COUNTBLANK(F67)=0,F67,"Unknown")</f>
        <v>Unknown</v>
      </c>
      <c r="Q67" s="15" t="str">
        <f t="shared" ref="Q67:Q100" si="11">IF(COUNTBLANK(G67)=0,G67,"Unknown")</f>
        <v>Salary</v>
      </c>
      <c r="R67" s="15" t="str">
        <f t="shared" ref="R67:R100" si="12">IF(COUNTBLANK(I67)=0,I67,"Unknown")</f>
        <v>Unknown</v>
      </c>
      <c r="S67" s="15">
        <f t="shared" ref="S67:S100" si="13">IF(COUNTBLANK(M67)=0,M67,0)</f>
        <v>4500</v>
      </c>
      <c r="T67" s="15" t="str">
        <f t="shared" ref="T67:T100" si="14">IF(COUNTBLANK(K67)=0,K67,"Cash/UPI")</f>
        <v>Card</v>
      </c>
    </row>
    <row r="68" spans="1:20" ht="15" customHeight="1" x14ac:dyDescent="0.25">
      <c r="A68" s="8" t="s">
        <v>218</v>
      </c>
      <c r="B68" s="9">
        <v>45698</v>
      </c>
      <c r="C68" s="8" t="s">
        <v>74</v>
      </c>
      <c r="D68" s="8" t="s">
        <v>40</v>
      </c>
      <c r="E68" s="8">
        <v>29</v>
      </c>
      <c r="F68" s="8" t="s">
        <v>219</v>
      </c>
      <c r="G68" s="8" t="s">
        <v>220</v>
      </c>
      <c r="H68" s="48">
        <v>65000</v>
      </c>
      <c r="I68" s="8" t="s">
        <v>43</v>
      </c>
      <c r="J68" s="48">
        <v>18000</v>
      </c>
      <c r="K68" s="8" t="s">
        <v>44</v>
      </c>
      <c r="L68" s="48">
        <v>9000</v>
      </c>
      <c r="M68" s="48">
        <v>5000</v>
      </c>
      <c r="N68" s="8">
        <v>742</v>
      </c>
      <c r="O68" s="8" t="s">
        <v>45</v>
      </c>
      <c r="P68" s="15" t="str">
        <f t="shared" si="10"/>
        <v>Kolkatta</v>
      </c>
      <c r="Q68" s="15" t="str">
        <f t="shared" si="11"/>
        <v xml:space="preserve"> Salary </v>
      </c>
      <c r="R68" s="15" t="str">
        <f t="shared" si="12"/>
        <v>Rent</v>
      </c>
      <c r="S68" s="15">
        <f t="shared" si="13"/>
        <v>5000</v>
      </c>
      <c r="T68" s="15" t="str">
        <f t="shared" si="14"/>
        <v>UPI</v>
      </c>
    </row>
    <row r="69" spans="1:20" ht="15" customHeight="1" x14ac:dyDescent="0.25">
      <c r="A69" s="8" t="s">
        <v>221</v>
      </c>
      <c r="B69" s="9">
        <v>45699</v>
      </c>
      <c r="C69" s="8" t="s">
        <v>79</v>
      </c>
      <c r="D69" s="8" t="s">
        <v>222</v>
      </c>
      <c r="E69" s="8">
        <v>27</v>
      </c>
      <c r="F69" s="8" t="s">
        <v>41</v>
      </c>
      <c r="G69" s="8" t="s">
        <v>50</v>
      </c>
      <c r="H69" s="48">
        <v>53000</v>
      </c>
      <c r="I69" s="8" t="s">
        <v>96</v>
      </c>
      <c r="J69" s="48">
        <v>7900</v>
      </c>
      <c r="K69" s="8" t="s">
        <v>44</v>
      </c>
      <c r="L69" s="48">
        <v>7000</v>
      </c>
      <c r="M69" s="48"/>
      <c r="N69" s="8">
        <v>695</v>
      </c>
      <c r="O69" s="8" t="s">
        <v>58</v>
      </c>
      <c r="P69" s="15" t="str">
        <f t="shared" si="10"/>
        <v>Kolkata</v>
      </c>
      <c r="Q69" s="15" t="str">
        <f t="shared" si="11"/>
        <v>Freelancing</v>
      </c>
      <c r="R69" s="15" t="str">
        <f t="shared" si="12"/>
        <v>Shopping</v>
      </c>
      <c r="S69" s="15">
        <f t="shared" si="13"/>
        <v>0</v>
      </c>
      <c r="T69" s="15" t="str">
        <f t="shared" si="14"/>
        <v>UPI</v>
      </c>
    </row>
    <row r="70" spans="1:20" ht="15" customHeight="1" x14ac:dyDescent="0.25">
      <c r="A70" s="8" t="s">
        <v>223</v>
      </c>
      <c r="B70" s="9">
        <v>45700</v>
      </c>
      <c r="C70" s="8" t="s">
        <v>84</v>
      </c>
      <c r="D70" s="8" t="s">
        <v>224</v>
      </c>
      <c r="E70" s="8">
        <v>38</v>
      </c>
      <c r="F70" s="8" t="s">
        <v>70</v>
      </c>
      <c r="G70" s="8" t="s">
        <v>42</v>
      </c>
      <c r="H70" s="48">
        <v>92000</v>
      </c>
      <c r="I70" s="8" t="s">
        <v>139</v>
      </c>
      <c r="J70" s="48">
        <v>10400</v>
      </c>
      <c r="K70" s="8" t="s">
        <v>52</v>
      </c>
      <c r="L70" s="48">
        <v>20000</v>
      </c>
      <c r="M70" s="48">
        <v>12000</v>
      </c>
      <c r="N70" s="8">
        <v>755</v>
      </c>
      <c r="O70" s="8" t="s">
        <v>53</v>
      </c>
      <c r="P70" s="15" t="str">
        <f t="shared" si="10"/>
        <v>Hyderabad</v>
      </c>
      <c r="Q70" s="15" t="str">
        <f t="shared" si="11"/>
        <v>Salary</v>
      </c>
      <c r="R70" s="15" t="str">
        <f t="shared" si="12"/>
        <v>Travel</v>
      </c>
      <c r="S70" s="15">
        <f t="shared" si="13"/>
        <v>12000</v>
      </c>
      <c r="T70" s="15" t="str">
        <f t="shared" si="14"/>
        <v>Card</v>
      </c>
    </row>
    <row r="71" spans="1:20" ht="15" customHeight="1" x14ac:dyDescent="0.25">
      <c r="A71" s="8" t="s">
        <v>225</v>
      </c>
      <c r="B71" s="9">
        <v>45701</v>
      </c>
      <c r="C71" s="8" t="s">
        <v>89</v>
      </c>
      <c r="D71" s="8" t="s">
        <v>226</v>
      </c>
      <c r="E71" s="8">
        <v>34</v>
      </c>
      <c r="F71" s="8" t="s">
        <v>81</v>
      </c>
      <c r="G71" s="8" t="s">
        <v>63</v>
      </c>
      <c r="H71" s="48">
        <v>142000</v>
      </c>
      <c r="I71" s="8" t="s">
        <v>100</v>
      </c>
      <c r="J71" s="48">
        <v>36000</v>
      </c>
      <c r="K71" s="8" t="s">
        <v>65</v>
      </c>
      <c r="L71" s="48">
        <v>45000</v>
      </c>
      <c r="M71" s="48">
        <v>20000</v>
      </c>
      <c r="N71" s="8">
        <v>812</v>
      </c>
      <c r="O71" s="8" t="s">
        <v>66</v>
      </c>
      <c r="P71" s="15" t="str">
        <f t="shared" si="10"/>
        <v>Chennai</v>
      </c>
      <c r="Q71" s="15" t="str">
        <f t="shared" si="11"/>
        <v>Business</v>
      </c>
      <c r="R71" s="15" t="str">
        <f t="shared" si="12"/>
        <v>Investment</v>
      </c>
      <c r="S71" s="15">
        <f t="shared" si="13"/>
        <v>20000</v>
      </c>
      <c r="T71" s="15" t="str">
        <f t="shared" si="14"/>
        <v>NetBanking</v>
      </c>
    </row>
    <row r="72" spans="1:20" ht="15" customHeight="1" x14ac:dyDescent="0.25">
      <c r="A72" s="8" t="s">
        <v>227</v>
      </c>
      <c r="B72" s="9">
        <v>45702</v>
      </c>
      <c r="C72" s="8" t="s">
        <v>93</v>
      </c>
      <c r="D72" s="8" t="s">
        <v>228</v>
      </c>
      <c r="E72" s="8">
        <v>43</v>
      </c>
      <c r="F72" s="8" t="s">
        <v>127</v>
      </c>
      <c r="G72" s="8" t="s">
        <v>42</v>
      </c>
      <c r="H72" s="48">
        <v>61000</v>
      </c>
      <c r="I72" s="8" t="s">
        <v>64</v>
      </c>
      <c r="J72" s="48">
        <v>5900</v>
      </c>
      <c r="K72" s="8" t="s">
        <v>57</v>
      </c>
      <c r="L72" s="48">
        <v>8000</v>
      </c>
      <c r="M72" s="48">
        <v>7000</v>
      </c>
      <c r="N72" s="8">
        <v>676</v>
      </c>
      <c r="O72" s="8" t="s">
        <v>72</v>
      </c>
      <c r="P72" s="15" t="str">
        <f t="shared" si="10"/>
        <v>Patna</v>
      </c>
      <c r="Q72" s="15" t="str">
        <f t="shared" si="11"/>
        <v>Salary</v>
      </c>
      <c r="R72" s="15" t="str">
        <f t="shared" si="12"/>
        <v>Utilities</v>
      </c>
      <c r="S72" s="15">
        <f t="shared" si="13"/>
        <v>7000</v>
      </c>
      <c r="T72" s="15" t="str">
        <f t="shared" si="14"/>
        <v>Cash</v>
      </c>
    </row>
    <row r="73" spans="1:20" ht="15" customHeight="1" x14ac:dyDescent="0.25">
      <c r="A73" s="8" t="s">
        <v>229</v>
      </c>
      <c r="B73" s="9">
        <v>45703</v>
      </c>
      <c r="C73" s="8" t="s">
        <v>98</v>
      </c>
      <c r="D73" s="8" t="s">
        <v>230</v>
      </c>
      <c r="E73" s="8">
        <v>29</v>
      </c>
      <c r="F73" s="8" t="s">
        <v>41</v>
      </c>
      <c r="G73" s="8"/>
      <c r="H73" s="48">
        <v>73000</v>
      </c>
      <c r="I73" s="8" t="s">
        <v>77</v>
      </c>
      <c r="J73" s="48">
        <v>4100</v>
      </c>
      <c r="K73" s="8" t="s">
        <v>44</v>
      </c>
      <c r="L73" s="48">
        <v>15000</v>
      </c>
      <c r="M73" s="48">
        <v>3000</v>
      </c>
      <c r="N73" s="8">
        <v>744</v>
      </c>
      <c r="O73" s="8" t="s">
        <v>53</v>
      </c>
      <c r="P73" s="15" t="str">
        <f t="shared" si="10"/>
        <v>Kolkata</v>
      </c>
      <c r="Q73" s="15" t="str">
        <f t="shared" si="11"/>
        <v>Unknown</v>
      </c>
      <c r="R73" s="15" t="str">
        <f t="shared" si="12"/>
        <v>Healthcare</v>
      </c>
      <c r="S73" s="15">
        <f t="shared" si="13"/>
        <v>3000</v>
      </c>
      <c r="T73" s="15" t="str">
        <f t="shared" si="14"/>
        <v>UPI</v>
      </c>
    </row>
    <row r="74" spans="1:20" ht="15" customHeight="1" x14ac:dyDescent="0.25">
      <c r="A74" s="8" t="s">
        <v>231</v>
      </c>
      <c r="B74" s="9">
        <v>45704</v>
      </c>
      <c r="C74" s="8" t="s">
        <v>102</v>
      </c>
      <c r="D74" s="8" t="s">
        <v>232</v>
      </c>
      <c r="E74" s="8">
        <v>37</v>
      </c>
      <c r="F74" s="8" t="s">
        <v>49</v>
      </c>
      <c r="G74" s="8" t="s">
        <v>50</v>
      </c>
      <c r="H74" s="48">
        <v>64000</v>
      </c>
      <c r="I74" s="8" t="s">
        <v>105</v>
      </c>
      <c r="J74" s="48">
        <v>5600</v>
      </c>
      <c r="K74" s="8" t="s">
        <v>52</v>
      </c>
      <c r="L74" s="48">
        <v>12000</v>
      </c>
      <c r="M74" s="48">
        <v>2500</v>
      </c>
      <c r="N74" s="8">
        <v>718</v>
      </c>
      <c r="O74" s="8" t="s">
        <v>45</v>
      </c>
      <c r="P74" s="15" t="str">
        <f t="shared" si="10"/>
        <v>Mumbai</v>
      </c>
      <c r="Q74" s="15" t="str">
        <f t="shared" si="11"/>
        <v>Freelancing</v>
      </c>
      <c r="R74" s="15" t="str">
        <f t="shared" si="12"/>
        <v>Food</v>
      </c>
      <c r="S74" s="15">
        <f t="shared" si="13"/>
        <v>2500</v>
      </c>
      <c r="T74" s="15" t="str">
        <f t="shared" si="14"/>
        <v>Card</v>
      </c>
    </row>
    <row r="75" spans="1:20" ht="15" customHeight="1" x14ac:dyDescent="0.25">
      <c r="A75" s="8" t="s">
        <v>233</v>
      </c>
      <c r="B75" s="9">
        <v>45705</v>
      </c>
      <c r="C75" s="8" t="s">
        <v>39</v>
      </c>
      <c r="D75" s="8" t="s">
        <v>234</v>
      </c>
      <c r="E75" s="8">
        <v>26</v>
      </c>
      <c r="F75" s="8" t="s">
        <v>104</v>
      </c>
      <c r="G75" s="8" t="s">
        <v>42</v>
      </c>
      <c r="H75" s="48">
        <v>58000</v>
      </c>
      <c r="I75" s="8" t="s">
        <v>87</v>
      </c>
      <c r="J75" s="48">
        <v>6200</v>
      </c>
      <c r="K75" s="8" t="s">
        <v>44</v>
      </c>
      <c r="L75" s="48">
        <v>9000</v>
      </c>
      <c r="M75" s="48">
        <v>9800</v>
      </c>
      <c r="N75" s="8">
        <v>708</v>
      </c>
      <c r="O75" s="8" t="s">
        <v>45</v>
      </c>
      <c r="P75" s="15" t="str">
        <f t="shared" si="10"/>
        <v>Delhi</v>
      </c>
      <c r="Q75" s="15" t="str">
        <f t="shared" si="11"/>
        <v>Salary</v>
      </c>
      <c r="R75" s="15" t="str">
        <f t="shared" si="12"/>
        <v>Education</v>
      </c>
      <c r="S75" s="15">
        <f t="shared" si="13"/>
        <v>9800</v>
      </c>
      <c r="T75" s="15" t="str">
        <f t="shared" si="14"/>
        <v>UPI</v>
      </c>
    </row>
    <row r="76" spans="1:20" ht="15" customHeight="1" x14ac:dyDescent="0.25">
      <c r="A76" s="8" t="s">
        <v>235</v>
      </c>
      <c r="B76" s="9">
        <v>45706</v>
      </c>
      <c r="C76" s="8" t="s">
        <v>47</v>
      </c>
      <c r="D76" s="8" t="s">
        <v>236</v>
      </c>
      <c r="E76" s="8">
        <v>45</v>
      </c>
      <c r="F76" s="8" t="s">
        <v>62</v>
      </c>
      <c r="G76" s="8" t="s">
        <v>63</v>
      </c>
      <c r="H76" s="48">
        <v>155000</v>
      </c>
      <c r="I76" s="8" t="s">
        <v>43</v>
      </c>
      <c r="J76" s="48">
        <v>34000</v>
      </c>
      <c r="K76" s="8"/>
      <c r="L76" s="48">
        <v>50000</v>
      </c>
      <c r="M76" s="48">
        <v>22000</v>
      </c>
      <c r="N76" s="8">
        <v>820</v>
      </c>
      <c r="O76" s="8" t="s">
        <v>66</v>
      </c>
      <c r="P76" s="15" t="str">
        <f t="shared" si="10"/>
        <v>Bangalore</v>
      </c>
      <c r="Q76" s="15" t="str">
        <f t="shared" si="11"/>
        <v>Business</v>
      </c>
      <c r="R76" s="15" t="str">
        <f t="shared" si="12"/>
        <v>Rent</v>
      </c>
      <c r="S76" s="15">
        <f t="shared" si="13"/>
        <v>22000</v>
      </c>
      <c r="T76" s="15" t="str">
        <f t="shared" si="14"/>
        <v>Cash/UPI</v>
      </c>
    </row>
    <row r="77" spans="1:20" ht="15" customHeight="1" x14ac:dyDescent="0.25">
      <c r="A77" s="8" t="s">
        <v>237</v>
      </c>
      <c r="B77" s="9">
        <v>45707</v>
      </c>
      <c r="C77" s="8" t="s">
        <v>55</v>
      </c>
      <c r="D77" s="8" t="s">
        <v>238</v>
      </c>
      <c r="E77" s="8">
        <v>30</v>
      </c>
      <c r="F77" s="8" t="s">
        <v>41</v>
      </c>
      <c r="G77" s="8" t="s">
        <v>42</v>
      </c>
      <c r="H77" s="48">
        <v>70000</v>
      </c>
      <c r="I77" s="8" t="s">
        <v>71</v>
      </c>
      <c r="J77" s="48">
        <v>5300</v>
      </c>
      <c r="K77" s="8" t="s">
        <v>52</v>
      </c>
      <c r="L77" s="48">
        <v>13000</v>
      </c>
      <c r="M77" s="48">
        <v>3500</v>
      </c>
      <c r="N77" s="8">
        <v>731</v>
      </c>
      <c r="O77" s="8" t="s">
        <v>53</v>
      </c>
      <c r="P77" s="15" t="str">
        <f t="shared" si="10"/>
        <v>Kolkata</v>
      </c>
      <c r="Q77" s="15" t="str">
        <f t="shared" si="11"/>
        <v>Salary</v>
      </c>
      <c r="R77" s="15" t="str">
        <f t="shared" si="12"/>
        <v>Entertainment</v>
      </c>
      <c r="S77" s="15">
        <f t="shared" si="13"/>
        <v>3500</v>
      </c>
      <c r="T77" s="15" t="str">
        <f t="shared" si="14"/>
        <v>Card</v>
      </c>
    </row>
    <row r="78" spans="1:20" ht="15" customHeight="1" x14ac:dyDescent="0.25">
      <c r="A78" s="8" t="s">
        <v>239</v>
      </c>
      <c r="B78" s="9">
        <v>45708</v>
      </c>
      <c r="C78" s="8" t="s">
        <v>60</v>
      </c>
      <c r="D78" s="8" t="s">
        <v>240</v>
      </c>
      <c r="E78" s="8">
        <v>35</v>
      </c>
      <c r="F78" s="8" t="s">
        <v>104</v>
      </c>
      <c r="G78" s="8" t="s">
        <v>42</v>
      </c>
      <c r="H78" s="48">
        <v>84000</v>
      </c>
      <c r="I78" s="8" t="s">
        <v>116</v>
      </c>
      <c r="J78" s="48">
        <v>4800</v>
      </c>
      <c r="K78" s="8" t="s">
        <v>57</v>
      </c>
      <c r="L78" s="48">
        <v>16000</v>
      </c>
      <c r="M78" s="48">
        <v>9000</v>
      </c>
      <c r="N78" s="8">
        <v>726</v>
      </c>
      <c r="O78" s="8" t="s">
        <v>45</v>
      </c>
      <c r="P78" s="15" t="str">
        <f t="shared" si="10"/>
        <v>Delhi</v>
      </c>
      <c r="Q78" s="15" t="str">
        <f t="shared" si="11"/>
        <v>Salary</v>
      </c>
      <c r="R78" s="15" t="str">
        <f t="shared" si="12"/>
        <v>Transport</v>
      </c>
      <c r="S78" s="15">
        <f t="shared" si="13"/>
        <v>9000</v>
      </c>
      <c r="T78" s="15" t="str">
        <f t="shared" si="14"/>
        <v>Cash</v>
      </c>
    </row>
    <row r="79" spans="1:20" ht="15" customHeight="1" x14ac:dyDescent="0.25">
      <c r="A79" s="8" t="s">
        <v>241</v>
      </c>
      <c r="B79" s="9">
        <v>45709</v>
      </c>
      <c r="C79" s="8" t="s">
        <v>68</v>
      </c>
      <c r="D79" s="8" t="s">
        <v>242</v>
      </c>
      <c r="E79" s="8">
        <v>28</v>
      </c>
      <c r="F79" s="8"/>
      <c r="G79" s="8" t="s">
        <v>50</v>
      </c>
      <c r="H79" s="48">
        <v>55000</v>
      </c>
      <c r="I79" s="8" t="s">
        <v>96</v>
      </c>
      <c r="J79" s="48">
        <v>8300</v>
      </c>
      <c r="K79" s="8" t="s">
        <v>44</v>
      </c>
      <c r="L79" s="48">
        <v>8500</v>
      </c>
      <c r="M79" s="48"/>
      <c r="N79" s="8">
        <v>699</v>
      </c>
      <c r="O79" s="8" t="s">
        <v>58</v>
      </c>
      <c r="P79" s="15" t="str">
        <f t="shared" si="10"/>
        <v>Unknown</v>
      </c>
      <c r="Q79" s="15" t="str">
        <f t="shared" si="11"/>
        <v>Freelancing</v>
      </c>
      <c r="R79" s="15" t="str">
        <f t="shared" si="12"/>
        <v>Shopping</v>
      </c>
      <c r="S79" s="15">
        <f t="shared" si="13"/>
        <v>0</v>
      </c>
      <c r="T79" s="15" t="str">
        <f t="shared" si="14"/>
        <v>UPI</v>
      </c>
    </row>
    <row r="80" spans="1:20" ht="15" customHeight="1" x14ac:dyDescent="0.25">
      <c r="A80" s="8" t="s">
        <v>243</v>
      </c>
      <c r="B80" s="9">
        <v>45710</v>
      </c>
      <c r="C80" s="8" t="s">
        <v>74</v>
      </c>
      <c r="D80" s="8" t="s">
        <v>244</v>
      </c>
      <c r="E80" s="8">
        <v>40</v>
      </c>
      <c r="F80" s="8" t="s">
        <v>124</v>
      </c>
      <c r="G80" s="8" t="s">
        <v>63</v>
      </c>
      <c r="H80" s="48">
        <v>134000</v>
      </c>
      <c r="I80" s="8" t="s">
        <v>100</v>
      </c>
      <c r="J80" s="48">
        <v>31000</v>
      </c>
      <c r="K80" s="8" t="s">
        <v>65</v>
      </c>
      <c r="L80" s="48">
        <v>39000</v>
      </c>
      <c r="M80" s="48">
        <v>17000</v>
      </c>
      <c r="N80" s="8">
        <v>803</v>
      </c>
      <c r="O80" s="8" t="s">
        <v>66</v>
      </c>
      <c r="P80" s="15" t="str">
        <f t="shared" si="10"/>
        <v>Ahmedabad</v>
      </c>
      <c r="Q80" s="15" t="str">
        <f t="shared" si="11"/>
        <v>Business</v>
      </c>
      <c r="R80" s="15" t="str">
        <f t="shared" si="12"/>
        <v>Investment</v>
      </c>
      <c r="S80" s="15">
        <f t="shared" si="13"/>
        <v>17000</v>
      </c>
      <c r="T80" s="15" t="str">
        <f t="shared" si="14"/>
        <v>NetBanking</v>
      </c>
    </row>
    <row r="81" spans="1:20" ht="15" customHeight="1" x14ac:dyDescent="0.25">
      <c r="A81" s="8" t="s">
        <v>245</v>
      </c>
      <c r="B81" s="9">
        <v>45711</v>
      </c>
      <c r="C81" s="8" t="s">
        <v>79</v>
      </c>
      <c r="D81" s="8" t="s">
        <v>246</v>
      </c>
      <c r="E81" s="8">
        <v>31</v>
      </c>
      <c r="F81" s="8" t="s">
        <v>49</v>
      </c>
      <c r="G81" s="8" t="s">
        <v>42</v>
      </c>
      <c r="H81" s="48">
        <v>76000</v>
      </c>
      <c r="I81" s="8" t="s">
        <v>51</v>
      </c>
      <c r="J81" s="48">
        <v>6800</v>
      </c>
      <c r="K81" s="8" t="s">
        <v>52</v>
      </c>
      <c r="L81" s="48">
        <v>14000</v>
      </c>
      <c r="M81" s="48">
        <v>4000</v>
      </c>
      <c r="N81" s="8">
        <v>739</v>
      </c>
      <c r="O81" s="8" t="s">
        <v>53</v>
      </c>
      <c r="P81" s="15" t="str">
        <f t="shared" si="10"/>
        <v>Mumbai</v>
      </c>
      <c r="Q81" s="15" t="str">
        <f t="shared" si="11"/>
        <v>Salary</v>
      </c>
      <c r="R81" s="15" t="str">
        <f t="shared" si="12"/>
        <v>Groceries</v>
      </c>
      <c r="S81" s="15">
        <f t="shared" si="13"/>
        <v>4000</v>
      </c>
      <c r="T81" s="15" t="str">
        <f t="shared" si="14"/>
        <v>Card</v>
      </c>
    </row>
    <row r="82" spans="1:20" ht="15" customHeight="1" x14ac:dyDescent="0.25">
      <c r="A82" s="8" t="s">
        <v>247</v>
      </c>
      <c r="B82" s="9">
        <v>45712</v>
      </c>
      <c r="C82" s="8" t="s">
        <v>84</v>
      </c>
      <c r="D82" s="8" t="s">
        <v>248</v>
      </c>
      <c r="E82" s="8">
        <v>27</v>
      </c>
      <c r="F82" s="8" t="s">
        <v>41</v>
      </c>
      <c r="G82" s="8" t="s">
        <v>42</v>
      </c>
      <c r="H82" s="48">
        <v>61000</v>
      </c>
      <c r="I82" s="8" t="s">
        <v>43</v>
      </c>
      <c r="J82" s="48">
        <v>17500</v>
      </c>
      <c r="K82" s="8" t="s">
        <v>44</v>
      </c>
      <c r="L82" s="48">
        <v>10000</v>
      </c>
      <c r="M82" s="48">
        <v>3500</v>
      </c>
      <c r="N82" s="8">
        <v>714</v>
      </c>
      <c r="O82" s="8" t="s">
        <v>45</v>
      </c>
      <c r="P82" s="15" t="str">
        <f t="shared" si="10"/>
        <v>Kolkata</v>
      </c>
      <c r="Q82" s="15" t="str">
        <f t="shared" si="11"/>
        <v>Salary</v>
      </c>
      <c r="R82" s="15" t="str">
        <f t="shared" si="12"/>
        <v>Rent</v>
      </c>
      <c r="S82" s="15">
        <f t="shared" si="13"/>
        <v>3500</v>
      </c>
      <c r="T82" s="15" t="str">
        <f t="shared" si="14"/>
        <v>UPI</v>
      </c>
    </row>
    <row r="83" spans="1:20" ht="15" customHeight="1" x14ac:dyDescent="0.25">
      <c r="A83" s="8" t="s">
        <v>249</v>
      </c>
      <c r="B83" s="9">
        <v>45713</v>
      </c>
      <c r="C83" s="8" t="s">
        <v>89</v>
      </c>
      <c r="D83" s="8" t="s">
        <v>250</v>
      </c>
      <c r="E83" s="8">
        <v>33</v>
      </c>
      <c r="F83" s="8" t="s">
        <v>104</v>
      </c>
      <c r="G83" s="8" t="s">
        <v>42</v>
      </c>
      <c r="H83" s="48">
        <v>85000</v>
      </c>
      <c r="I83" s="8" t="s">
        <v>77</v>
      </c>
      <c r="J83" s="48">
        <v>5200</v>
      </c>
      <c r="K83" s="8" t="s">
        <v>65</v>
      </c>
      <c r="L83" s="48">
        <v>18000</v>
      </c>
      <c r="M83" s="48">
        <v>8000</v>
      </c>
      <c r="N83" s="8">
        <v>748</v>
      </c>
      <c r="O83" s="8" t="s">
        <v>53</v>
      </c>
      <c r="P83" s="15" t="str">
        <f t="shared" si="10"/>
        <v>Delhi</v>
      </c>
      <c r="Q83" s="15" t="str">
        <f t="shared" si="11"/>
        <v>Salary</v>
      </c>
      <c r="R83" s="15" t="str">
        <f t="shared" si="12"/>
        <v>Healthcare</v>
      </c>
      <c r="S83" s="15">
        <f t="shared" si="13"/>
        <v>8000</v>
      </c>
      <c r="T83" s="15" t="str">
        <f t="shared" si="14"/>
        <v>NetBanking</v>
      </c>
    </row>
    <row r="84" spans="1:20" ht="15" customHeight="1" x14ac:dyDescent="0.25">
      <c r="A84" s="8" t="s">
        <v>251</v>
      </c>
      <c r="B84" s="9">
        <v>45714</v>
      </c>
      <c r="C84" s="8" t="s">
        <v>93</v>
      </c>
      <c r="D84" s="8" t="s">
        <v>252</v>
      </c>
      <c r="E84" s="8">
        <v>24</v>
      </c>
      <c r="F84" s="8" t="s">
        <v>41</v>
      </c>
      <c r="G84" s="8" t="s">
        <v>86</v>
      </c>
      <c r="H84" s="48">
        <v>27000</v>
      </c>
      <c r="I84" s="8" t="s">
        <v>105</v>
      </c>
      <c r="J84" s="48">
        <v>3900</v>
      </c>
      <c r="K84" s="8" t="s">
        <v>57</v>
      </c>
      <c r="L84" s="48">
        <v>2500</v>
      </c>
      <c r="M84" s="48"/>
      <c r="N84" s="8">
        <v>671</v>
      </c>
      <c r="O84" s="8" t="s">
        <v>58</v>
      </c>
      <c r="P84" s="15" t="str">
        <f t="shared" si="10"/>
        <v>Kolkata</v>
      </c>
      <c r="Q84" s="15" t="str">
        <f t="shared" si="11"/>
        <v>Internship</v>
      </c>
      <c r="R84" s="15" t="str">
        <f t="shared" si="12"/>
        <v>Food</v>
      </c>
      <c r="S84" s="15">
        <f t="shared" si="13"/>
        <v>0</v>
      </c>
      <c r="T84" s="15" t="str">
        <f t="shared" si="14"/>
        <v>Cash</v>
      </c>
    </row>
    <row r="85" spans="1:20" ht="15" customHeight="1" x14ac:dyDescent="0.25">
      <c r="A85" s="8" t="s">
        <v>253</v>
      </c>
      <c r="B85" s="9">
        <v>45715</v>
      </c>
      <c r="C85" s="8" t="s">
        <v>98</v>
      </c>
      <c r="D85" s="8" t="s">
        <v>254</v>
      </c>
      <c r="E85" s="8">
        <v>39</v>
      </c>
      <c r="F85" s="8" t="s">
        <v>119</v>
      </c>
      <c r="G85" s="8"/>
      <c r="H85" s="48">
        <v>126000</v>
      </c>
      <c r="I85" s="8" t="s">
        <v>139</v>
      </c>
      <c r="J85" s="48">
        <v>11200</v>
      </c>
      <c r="K85" s="8" t="s">
        <v>52</v>
      </c>
      <c r="L85" s="48">
        <v>32000</v>
      </c>
      <c r="M85" s="48">
        <v>15000</v>
      </c>
      <c r="N85" s="8">
        <v>791</v>
      </c>
      <c r="O85" s="8" t="s">
        <v>66</v>
      </c>
      <c r="P85" s="15" t="str">
        <f t="shared" si="10"/>
        <v>Chandigarh</v>
      </c>
      <c r="Q85" s="15" t="str">
        <f t="shared" si="11"/>
        <v>Unknown</v>
      </c>
      <c r="R85" s="15" t="str">
        <f t="shared" si="12"/>
        <v>Travel</v>
      </c>
      <c r="S85" s="15">
        <f t="shared" si="13"/>
        <v>15000</v>
      </c>
      <c r="T85" s="15" t="str">
        <f t="shared" si="14"/>
        <v>Card</v>
      </c>
    </row>
    <row r="86" spans="1:20" ht="15" customHeight="1" x14ac:dyDescent="0.25">
      <c r="A86" s="8" t="s">
        <v>255</v>
      </c>
      <c r="B86" s="9">
        <v>45716</v>
      </c>
      <c r="C86" s="8" t="s">
        <v>102</v>
      </c>
      <c r="D86" s="8" t="s">
        <v>256</v>
      </c>
      <c r="E86" s="8">
        <v>29</v>
      </c>
      <c r="F86" s="8" t="s">
        <v>95</v>
      </c>
      <c r="G86" s="8" t="s">
        <v>42</v>
      </c>
      <c r="H86" s="48">
        <v>68000</v>
      </c>
      <c r="I86" s="8" t="s">
        <v>96</v>
      </c>
      <c r="J86" s="48">
        <v>7200</v>
      </c>
      <c r="K86" s="8" t="s">
        <v>44</v>
      </c>
      <c r="L86" s="48">
        <v>12000</v>
      </c>
      <c r="M86" s="48">
        <v>2500</v>
      </c>
      <c r="N86" s="8">
        <v>733</v>
      </c>
      <c r="O86" s="8" t="s">
        <v>53</v>
      </c>
      <c r="P86" s="15" t="str">
        <f t="shared" si="10"/>
        <v>Jaipur</v>
      </c>
      <c r="Q86" s="15" t="str">
        <f t="shared" si="11"/>
        <v>Salary</v>
      </c>
      <c r="R86" s="15" t="str">
        <f t="shared" si="12"/>
        <v>Shopping</v>
      </c>
      <c r="S86" s="15">
        <f t="shared" si="13"/>
        <v>2500</v>
      </c>
      <c r="T86" s="15" t="str">
        <f t="shared" si="14"/>
        <v>UPI</v>
      </c>
    </row>
    <row r="87" spans="1:20" ht="15" customHeight="1" x14ac:dyDescent="0.25">
      <c r="A87" s="8" t="s">
        <v>257</v>
      </c>
      <c r="B87" s="9">
        <v>45717</v>
      </c>
      <c r="C87" s="8" t="s">
        <v>39</v>
      </c>
      <c r="D87" s="8" t="s">
        <v>258</v>
      </c>
      <c r="E87" s="8">
        <v>36</v>
      </c>
      <c r="F87" s="8" t="s">
        <v>41</v>
      </c>
      <c r="G87" s="8" t="s">
        <v>42</v>
      </c>
      <c r="H87" s="48">
        <v>79000</v>
      </c>
      <c r="I87" s="8" t="s">
        <v>64</v>
      </c>
      <c r="J87" s="48">
        <v>6100</v>
      </c>
      <c r="K87" s="8" t="s">
        <v>52</v>
      </c>
      <c r="L87" s="48">
        <v>17000</v>
      </c>
      <c r="M87" s="48">
        <v>6500</v>
      </c>
      <c r="N87" s="8">
        <v>742</v>
      </c>
      <c r="O87" s="8" t="s">
        <v>53</v>
      </c>
      <c r="P87" s="15" t="str">
        <f t="shared" si="10"/>
        <v>Kolkata</v>
      </c>
      <c r="Q87" s="15" t="str">
        <f t="shared" si="11"/>
        <v>Salary</v>
      </c>
      <c r="R87" s="15" t="str">
        <f t="shared" si="12"/>
        <v>Utilities</v>
      </c>
      <c r="S87" s="15">
        <f t="shared" si="13"/>
        <v>6500</v>
      </c>
      <c r="T87" s="15" t="str">
        <f t="shared" si="14"/>
        <v>Card</v>
      </c>
    </row>
    <row r="88" spans="1:20" ht="15" customHeight="1" x14ac:dyDescent="0.25">
      <c r="A88" s="8" t="s">
        <v>259</v>
      </c>
      <c r="B88" s="9">
        <v>45718</v>
      </c>
      <c r="C88" s="8" t="s">
        <v>47</v>
      </c>
      <c r="D88" s="8" t="s">
        <v>260</v>
      </c>
      <c r="E88" s="8">
        <v>25</v>
      </c>
      <c r="F88" s="8" t="s">
        <v>76</v>
      </c>
      <c r="G88" s="8" t="s">
        <v>50</v>
      </c>
      <c r="H88" s="48">
        <v>49000</v>
      </c>
      <c r="I88" s="8" t="s">
        <v>71</v>
      </c>
      <c r="J88" s="48">
        <v>4700</v>
      </c>
      <c r="K88" s="8"/>
      <c r="L88" s="48">
        <v>6000</v>
      </c>
      <c r="M88" s="48">
        <v>8000</v>
      </c>
      <c r="N88" s="8">
        <v>687</v>
      </c>
      <c r="O88" s="8" t="s">
        <v>58</v>
      </c>
      <c r="P88" s="15" t="str">
        <f t="shared" si="10"/>
        <v>Pune</v>
      </c>
      <c r="Q88" s="15" t="str">
        <f t="shared" si="11"/>
        <v>Freelancing</v>
      </c>
      <c r="R88" s="15" t="str">
        <f t="shared" si="12"/>
        <v>Entertainment</v>
      </c>
      <c r="S88" s="15">
        <f t="shared" si="13"/>
        <v>8000</v>
      </c>
      <c r="T88" s="15" t="str">
        <f t="shared" si="14"/>
        <v>Cash/UPI</v>
      </c>
    </row>
    <row r="89" spans="1:20" ht="15" customHeight="1" x14ac:dyDescent="0.25">
      <c r="A89" s="8" t="s">
        <v>261</v>
      </c>
      <c r="B89" s="9">
        <v>45719</v>
      </c>
      <c r="C89" s="8" t="s">
        <v>55</v>
      </c>
      <c r="D89" s="8" t="s">
        <v>262</v>
      </c>
      <c r="E89" s="8">
        <v>42</v>
      </c>
      <c r="F89" s="8" t="s">
        <v>127</v>
      </c>
      <c r="G89" s="8" t="s">
        <v>63</v>
      </c>
      <c r="H89" s="48">
        <v>146000</v>
      </c>
      <c r="I89" s="8" t="s">
        <v>100</v>
      </c>
      <c r="J89" s="48">
        <v>39000</v>
      </c>
      <c r="K89" s="8" t="s">
        <v>82</v>
      </c>
      <c r="L89" s="48">
        <v>47000</v>
      </c>
      <c r="M89" s="48">
        <v>21000</v>
      </c>
      <c r="N89" s="8">
        <v>809</v>
      </c>
      <c r="O89" s="8" t="s">
        <v>66</v>
      </c>
      <c r="P89" s="15" t="str">
        <f t="shared" si="10"/>
        <v>Patna</v>
      </c>
      <c r="Q89" s="15" t="str">
        <f t="shared" si="11"/>
        <v>Business</v>
      </c>
      <c r="R89" s="15" t="str">
        <f t="shared" si="12"/>
        <v>Investment</v>
      </c>
      <c r="S89" s="15">
        <f t="shared" si="13"/>
        <v>21000</v>
      </c>
      <c r="T89" s="15" t="str">
        <f t="shared" si="14"/>
        <v>Cheque</v>
      </c>
    </row>
    <row r="90" spans="1:20" ht="15" customHeight="1" x14ac:dyDescent="0.25">
      <c r="A90" s="8" t="s">
        <v>263</v>
      </c>
      <c r="B90" s="9">
        <v>45720</v>
      </c>
      <c r="C90" s="8" t="s">
        <v>60</v>
      </c>
      <c r="D90" s="8" t="s">
        <v>264</v>
      </c>
      <c r="E90" s="8">
        <v>31</v>
      </c>
      <c r="F90" s="8" t="s">
        <v>41</v>
      </c>
      <c r="G90" s="8" t="s">
        <v>42</v>
      </c>
      <c r="H90" s="48">
        <v>71000</v>
      </c>
      <c r="I90" s="8" t="s">
        <v>77</v>
      </c>
      <c r="J90" s="48">
        <v>4500</v>
      </c>
      <c r="K90" s="8" t="s">
        <v>44</v>
      </c>
      <c r="L90" s="48">
        <v>14000</v>
      </c>
      <c r="M90" s="48">
        <v>3500</v>
      </c>
      <c r="N90" s="8">
        <v>737</v>
      </c>
      <c r="O90" s="8" t="s">
        <v>53</v>
      </c>
      <c r="P90" s="15" t="str">
        <f t="shared" si="10"/>
        <v>Kolkata</v>
      </c>
      <c r="Q90" s="15" t="str">
        <f t="shared" si="11"/>
        <v>Salary</v>
      </c>
      <c r="R90" s="15" t="str">
        <f t="shared" si="12"/>
        <v>Healthcare</v>
      </c>
      <c r="S90" s="15">
        <f t="shared" si="13"/>
        <v>3500</v>
      </c>
      <c r="T90" s="15" t="str">
        <f t="shared" si="14"/>
        <v>UPI</v>
      </c>
    </row>
    <row r="91" spans="1:20" ht="15" customHeight="1" x14ac:dyDescent="0.25">
      <c r="A91" s="8" t="s">
        <v>265</v>
      </c>
      <c r="B91" s="9">
        <v>45721</v>
      </c>
      <c r="C91" s="8" t="s">
        <v>68</v>
      </c>
      <c r="D91" s="8" t="s">
        <v>266</v>
      </c>
      <c r="E91" s="8">
        <v>28</v>
      </c>
      <c r="F91" s="8"/>
      <c r="G91" s="8" t="s">
        <v>42</v>
      </c>
      <c r="H91" s="48">
        <v>64000</v>
      </c>
      <c r="I91" s="8" t="s">
        <v>116</v>
      </c>
      <c r="J91" s="48">
        <v>5100</v>
      </c>
      <c r="K91" s="8" t="s">
        <v>57</v>
      </c>
      <c r="L91" s="48">
        <v>11000</v>
      </c>
      <c r="M91" s="48">
        <v>4000</v>
      </c>
      <c r="N91" s="8">
        <v>716</v>
      </c>
      <c r="O91" s="8" t="s">
        <v>45</v>
      </c>
      <c r="P91" s="15" t="str">
        <f t="shared" si="10"/>
        <v>Unknown</v>
      </c>
      <c r="Q91" s="15" t="str">
        <f t="shared" si="11"/>
        <v>Salary</v>
      </c>
      <c r="R91" s="15" t="str">
        <f t="shared" si="12"/>
        <v>Transport</v>
      </c>
      <c r="S91" s="15">
        <f t="shared" si="13"/>
        <v>4000</v>
      </c>
      <c r="T91" s="15" t="str">
        <f t="shared" si="14"/>
        <v>Cash</v>
      </c>
    </row>
    <row r="92" spans="1:20" ht="15" customHeight="1" x14ac:dyDescent="0.25">
      <c r="A92" s="8" t="s">
        <v>267</v>
      </c>
      <c r="B92" s="9">
        <v>45722</v>
      </c>
      <c r="C92" s="8" t="s">
        <v>74</v>
      </c>
      <c r="D92" s="8" t="s">
        <v>268</v>
      </c>
      <c r="E92" s="8">
        <v>27</v>
      </c>
      <c r="F92" s="8" t="s">
        <v>41</v>
      </c>
      <c r="G92" s="8" t="s">
        <v>50</v>
      </c>
      <c r="H92" s="48">
        <v>54000</v>
      </c>
      <c r="I92" s="8" t="s">
        <v>105</v>
      </c>
      <c r="J92" s="48">
        <v>5900</v>
      </c>
      <c r="K92" s="8" t="s">
        <v>52</v>
      </c>
      <c r="L92" s="48">
        <v>7000</v>
      </c>
      <c r="M92" s="48"/>
      <c r="N92" s="8">
        <v>697</v>
      </c>
      <c r="O92" s="8" t="s">
        <v>58</v>
      </c>
      <c r="P92" s="15" t="str">
        <f t="shared" si="10"/>
        <v>Kolkata</v>
      </c>
      <c r="Q92" s="15" t="str">
        <f t="shared" si="11"/>
        <v>Freelancing</v>
      </c>
      <c r="R92" s="15" t="str">
        <f t="shared" si="12"/>
        <v>Food</v>
      </c>
      <c r="S92" s="15">
        <f t="shared" si="13"/>
        <v>0</v>
      </c>
      <c r="T92" s="15" t="str">
        <f t="shared" si="14"/>
        <v>Card</v>
      </c>
    </row>
    <row r="93" spans="1:20" ht="15" customHeight="1" x14ac:dyDescent="0.25">
      <c r="A93" s="8" t="s">
        <v>269</v>
      </c>
      <c r="B93" s="9">
        <v>45723</v>
      </c>
      <c r="C93" s="8" t="s">
        <v>79</v>
      </c>
      <c r="D93" s="8" t="s">
        <v>270</v>
      </c>
      <c r="E93" s="8">
        <v>44</v>
      </c>
      <c r="F93" s="8" t="s">
        <v>49</v>
      </c>
      <c r="G93" s="8" t="s">
        <v>63</v>
      </c>
      <c r="H93" s="48">
        <v>152000</v>
      </c>
      <c r="I93" s="8" t="s">
        <v>43</v>
      </c>
      <c r="J93" s="48">
        <v>36000</v>
      </c>
      <c r="K93" s="8" t="s">
        <v>65</v>
      </c>
      <c r="L93" s="48">
        <v>52000</v>
      </c>
      <c r="M93" s="48">
        <v>24000</v>
      </c>
      <c r="N93" s="8">
        <v>818</v>
      </c>
      <c r="O93" s="8" t="s">
        <v>66</v>
      </c>
      <c r="P93" s="15" t="str">
        <f t="shared" si="10"/>
        <v>Mumbai</v>
      </c>
      <c r="Q93" s="15" t="str">
        <f t="shared" si="11"/>
        <v>Business</v>
      </c>
      <c r="R93" s="15" t="str">
        <f t="shared" si="12"/>
        <v>Rent</v>
      </c>
      <c r="S93" s="15">
        <f t="shared" si="13"/>
        <v>24000</v>
      </c>
      <c r="T93" s="15" t="str">
        <f t="shared" si="14"/>
        <v>NetBanking</v>
      </c>
    </row>
    <row r="94" spans="1:20" ht="15" customHeight="1" x14ac:dyDescent="0.25">
      <c r="A94" s="8" t="s">
        <v>271</v>
      </c>
      <c r="B94" s="9">
        <v>45724</v>
      </c>
      <c r="C94" s="8" t="s">
        <v>84</v>
      </c>
      <c r="D94" s="8" t="s">
        <v>272</v>
      </c>
      <c r="E94" s="8">
        <v>30</v>
      </c>
      <c r="F94" s="8" t="s">
        <v>104</v>
      </c>
      <c r="G94" s="8"/>
      <c r="H94" s="48">
        <v>73000</v>
      </c>
      <c r="I94" s="8" t="s">
        <v>96</v>
      </c>
      <c r="J94" s="48">
        <v>8400</v>
      </c>
      <c r="K94" s="8" t="s">
        <v>44</v>
      </c>
      <c r="L94" s="48">
        <v>13000</v>
      </c>
      <c r="M94" s="48">
        <v>5000</v>
      </c>
      <c r="N94" s="8">
        <v>729</v>
      </c>
      <c r="O94" s="8" t="s">
        <v>53</v>
      </c>
      <c r="P94" s="15" t="str">
        <f t="shared" si="10"/>
        <v>Delhi</v>
      </c>
      <c r="Q94" s="15" t="str">
        <f t="shared" si="11"/>
        <v>Unknown</v>
      </c>
      <c r="R94" s="15" t="str">
        <f t="shared" si="12"/>
        <v>Shopping</v>
      </c>
      <c r="S94" s="15">
        <f t="shared" si="13"/>
        <v>5000</v>
      </c>
      <c r="T94" s="15" t="str">
        <f t="shared" si="14"/>
        <v>UPI</v>
      </c>
    </row>
    <row r="95" spans="1:20" ht="15" customHeight="1" x14ac:dyDescent="0.25">
      <c r="A95" s="8" t="s">
        <v>273</v>
      </c>
      <c r="B95" s="9">
        <v>45725</v>
      </c>
      <c r="C95" s="8" t="s">
        <v>89</v>
      </c>
      <c r="D95" s="8" t="s">
        <v>274</v>
      </c>
      <c r="E95" s="8">
        <v>35</v>
      </c>
      <c r="F95" s="8" t="s">
        <v>41</v>
      </c>
      <c r="G95" s="8" t="s">
        <v>42</v>
      </c>
      <c r="H95" s="48">
        <v>82000</v>
      </c>
      <c r="I95" s="8" t="s">
        <v>139</v>
      </c>
      <c r="J95" s="48">
        <v>9800</v>
      </c>
      <c r="K95" s="8" t="s">
        <v>52</v>
      </c>
      <c r="L95" s="48">
        <v>19000</v>
      </c>
      <c r="M95" s="48">
        <v>9000</v>
      </c>
      <c r="N95" s="8">
        <v>745</v>
      </c>
      <c r="O95" s="8" t="s">
        <v>53</v>
      </c>
      <c r="P95" s="15" t="str">
        <f t="shared" si="10"/>
        <v>Kolkata</v>
      </c>
      <c r="Q95" s="15" t="str">
        <f t="shared" si="11"/>
        <v>Salary</v>
      </c>
      <c r="R95" s="15" t="str">
        <f t="shared" si="12"/>
        <v>Travel</v>
      </c>
      <c r="S95" s="15">
        <f t="shared" si="13"/>
        <v>9000</v>
      </c>
      <c r="T95" s="15" t="str">
        <f t="shared" si="14"/>
        <v>Card</v>
      </c>
    </row>
    <row r="96" spans="1:20" ht="15" customHeight="1" x14ac:dyDescent="0.25">
      <c r="A96" s="8" t="s">
        <v>275</v>
      </c>
      <c r="B96" s="9">
        <v>45726</v>
      </c>
      <c r="C96" s="8" t="s">
        <v>93</v>
      </c>
      <c r="D96" s="8" t="s">
        <v>276</v>
      </c>
      <c r="E96" s="8">
        <v>26</v>
      </c>
      <c r="F96" s="8" t="s">
        <v>91</v>
      </c>
      <c r="G96" s="8" t="s">
        <v>50</v>
      </c>
      <c r="H96" s="48">
        <v>51000</v>
      </c>
      <c r="I96" s="8"/>
      <c r="J96" s="48">
        <v>4300</v>
      </c>
      <c r="K96" s="8" t="s">
        <v>44</v>
      </c>
      <c r="L96" s="48">
        <v>6500</v>
      </c>
      <c r="M96" s="48">
        <v>7000</v>
      </c>
      <c r="N96" s="8">
        <v>692</v>
      </c>
      <c r="O96" s="8" t="s">
        <v>58</v>
      </c>
      <c r="P96" s="15" t="str">
        <f t="shared" si="10"/>
        <v>Kochi</v>
      </c>
      <c r="Q96" s="15" t="str">
        <f t="shared" si="11"/>
        <v>Freelancing</v>
      </c>
      <c r="R96" s="15" t="str">
        <f t="shared" si="12"/>
        <v>Unknown</v>
      </c>
      <c r="S96" s="15">
        <f t="shared" si="13"/>
        <v>7000</v>
      </c>
      <c r="T96" s="15" t="str">
        <f t="shared" si="14"/>
        <v>UPI</v>
      </c>
    </row>
    <row r="97" spans="1:20" ht="15" customHeight="1" x14ac:dyDescent="0.25">
      <c r="A97" s="8" t="s">
        <v>277</v>
      </c>
      <c r="B97" s="9">
        <v>45727</v>
      </c>
      <c r="C97" s="8" t="s">
        <v>98</v>
      </c>
      <c r="D97" s="8" t="s">
        <v>278</v>
      </c>
      <c r="E97" s="8">
        <v>41</v>
      </c>
      <c r="F97" s="8" t="s">
        <v>124</v>
      </c>
      <c r="G97" s="8" t="s">
        <v>63</v>
      </c>
      <c r="H97" s="48">
        <v>129000</v>
      </c>
      <c r="I97" s="8" t="s">
        <v>100</v>
      </c>
      <c r="J97" s="48">
        <v>30000</v>
      </c>
      <c r="K97" s="8" t="s">
        <v>82</v>
      </c>
      <c r="L97" s="48">
        <v>36000</v>
      </c>
      <c r="M97" s="48">
        <v>16000</v>
      </c>
      <c r="N97" s="8">
        <v>796</v>
      </c>
      <c r="O97" s="8" t="s">
        <v>66</v>
      </c>
      <c r="P97" s="15" t="str">
        <f t="shared" si="10"/>
        <v>Ahmedabad</v>
      </c>
      <c r="Q97" s="15" t="str">
        <f t="shared" si="11"/>
        <v>Business</v>
      </c>
      <c r="R97" s="15" t="str">
        <f t="shared" si="12"/>
        <v>Investment</v>
      </c>
      <c r="S97" s="15">
        <f t="shared" si="13"/>
        <v>16000</v>
      </c>
      <c r="T97" s="15" t="str">
        <f t="shared" si="14"/>
        <v>Cheque</v>
      </c>
    </row>
    <row r="98" spans="1:20" ht="15" customHeight="1" x14ac:dyDescent="0.25">
      <c r="A98" s="8" t="s">
        <v>279</v>
      </c>
      <c r="B98" s="9">
        <v>45728</v>
      </c>
      <c r="C98" s="8" t="s">
        <v>102</v>
      </c>
      <c r="D98" s="8" t="s">
        <v>280</v>
      </c>
      <c r="E98" s="8">
        <v>32</v>
      </c>
      <c r="F98" s="8" t="s">
        <v>41</v>
      </c>
      <c r="G98" s="8" t="s">
        <v>42</v>
      </c>
      <c r="H98" s="48">
        <v>69000</v>
      </c>
      <c r="I98" s="8" t="s">
        <v>51</v>
      </c>
      <c r="J98" s="48">
        <v>6700</v>
      </c>
      <c r="K98" s="8" t="s">
        <v>52</v>
      </c>
      <c r="L98" s="48">
        <v>12500</v>
      </c>
      <c r="M98" s="48">
        <v>3000</v>
      </c>
      <c r="N98" s="8">
        <v>734</v>
      </c>
      <c r="O98" s="8" t="s">
        <v>53</v>
      </c>
      <c r="P98" s="15" t="str">
        <f t="shared" si="10"/>
        <v>Kolkata</v>
      </c>
      <c r="Q98" s="15" t="str">
        <f t="shared" si="11"/>
        <v>Salary</v>
      </c>
      <c r="R98" s="15" t="str">
        <f t="shared" si="12"/>
        <v>Groceries</v>
      </c>
      <c r="S98" s="15">
        <f t="shared" si="13"/>
        <v>3000</v>
      </c>
      <c r="T98" s="15" t="str">
        <f t="shared" si="14"/>
        <v>Card</v>
      </c>
    </row>
    <row r="99" spans="1:20" ht="15" customHeight="1" x14ac:dyDescent="0.25">
      <c r="A99" s="8" t="s">
        <v>281</v>
      </c>
      <c r="B99" s="9">
        <v>45729</v>
      </c>
      <c r="C99" s="8" t="s">
        <v>39</v>
      </c>
      <c r="D99" s="8" t="s">
        <v>282</v>
      </c>
      <c r="E99" s="8">
        <v>29</v>
      </c>
      <c r="F99" s="8" t="s">
        <v>104</v>
      </c>
      <c r="G99" s="8" t="s">
        <v>42</v>
      </c>
      <c r="H99" s="48">
        <v>66000</v>
      </c>
      <c r="I99" s="8" t="s">
        <v>43</v>
      </c>
      <c r="J99" s="48">
        <v>20000</v>
      </c>
      <c r="K99" s="8" t="s">
        <v>44</v>
      </c>
      <c r="L99" s="48">
        <v>9000</v>
      </c>
      <c r="M99" s="48">
        <v>4500</v>
      </c>
      <c r="N99" s="8">
        <v>710</v>
      </c>
      <c r="O99" s="8" t="s">
        <v>45</v>
      </c>
      <c r="P99" s="15" t="str">
        <f t="shared" si="10"/>
        <v>Delhi</v>
      </c>
      <c r="Q99" s="15" t="str">
        <f t="shared" si="11"/>
        <v>Salary</v>
      </c>
      <c r="R99" s="15" t="str">
        <f t="shared" si="12"/>
        <v>Rent</v>
      </c>
      <c r="S99" s="15">
        <f t="shared" si="13"/>
        <v>4500</v>
      </c>
      <c r="T99" s="15" t="str">
        <f t="shared" si="14"/>
        <v>UPI</v>
      </c>
    </row>
    <row r="100" spans="1:20" ht="15" customHeight="1" x14ac:dyDescent="0.25">
      <c r="A100" s="8" t="s">
        <v>283</v>
      </c>
      <c r="B100" s="9">
        <v>45730</v>
      </c>
      <c r="C100" s="8" t="s">
        <v>47</v>
      </c>
      <c r="D100" s="8" t="s">
        <v>284</v>
      </c>
      <c r="E100" s="8">
        <v>24</v>
      </c>
      <c r="F100" s="8"/>
      <c r="G100" s="8"/>
      <c r="H100" s="48">
        <v>32000</v>
      </c>
      <c r="I100" s="8"/>
      <c r="J100" s="48">
        <v>3900</v>
      </c>
      <c r="K100" s="8"/>
      <c r="L100" s="48">
        <v>3500</v>
      </c>
      <c r="M100" s="48"/>
      <c r="N100" s="8">
        <v>678</v>
      </c>
      <c r="O100" s="8" t="s">
        <v>58</v>
      </c>
      <c r="P100" s="15" t="str">
        <f t="shared" si="10"/>
        <v>Unknown</v>
      </c>
      <c r="Q100" s="15" t="str">
        <f t="shared" si="11"/>
        <v>Unknown</v>
      </c>
      <c r="R100" s="15" t="str">
        <f t="shared" si="12"/>
        <v>Unknown</v>
      </c>
      <c r="S100" s="15">
        <f t="shared" si="13"/>
        <v>0</v>
      </c>
      <c r="T100" s="15" t="str">
        <f t="shared" si="14"/>
        <v>Cash/UPI</v>
      </c>
    </row>
  </sheetData>
  <mergeCells count="1">
    <mergeCell ref="A1:O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O100"/>
  <sheetViews>
    <sheetView zoomScaleNormal="100" workbookViewId="0">
      <selection activeCell="Q10" sqref="Q10"/>
    </sheetView>
  </sheetViews>
  <sheetFormatPr defaultColWidth="8.7109375" defaultRowHeight="15" x14ac:dyDescent="0.25"/>
  <cols>
    <col min="1" max="1" width="9.28515625" style="16" customWidth="1"/>
    <col min="2" max="2" width="13" style="16" customWidth="1"/>
    <col min="3" max="3" width="10" style="16" customWidth="1"/>
    <col min="4" max="4" width="15.140625" style="16" customWidth="1"/>
    <col min="5" max="5" width="8.7109375" style="17"/>
    <col min="6" max="6" width="11" style="16" customWidth="1"/>
    <col min="7" max="7" width="16.28515625" style="16" customWidth="1"/>
    <col min="8" max="8" width="16.5703125" style="16" customWidth="1"/>
    <col min="9" max="9" width="19.7109375" style="16" customWidth="1"/>
    <col min="10" max="10" width="17.42578125" style="16" customWidth="1"/>
    <col min="11" max="11" width="17.28515625" style="16" customWidth="1"/>
    <col min="12" max="12" width="10.7109375" style="17" bestFit="1" customWidth="1"/>
    <col min="13" max="13" width="11.85546875" style="16" customWidth="1"/>
    <col min="14" max="14" width="12.85546875" style="16" customWidth="1"/>
    <col min="15" max="15" width="15.7109375" style="16" customWidth="1"/>
    <col min="16" max="16384" width="8.7109375" style="17"/>
  </cols>
  <sheetData>
    <row r="1" spans="1:15" ht="25.5" customHeight="1" x14ac:dyDescent="0.35">
      <c r="A1" s="153" t="s">
        <v>292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</row>
    <row r="2" spans="1:15" ht="15" customHeight="1" x14ac:dyDescent="0.25">
      <c r="A2" s="18" t="s">
        <v>23</v>
      </c>
      <c r="B2" s="19" t="s">
        <v>24</v>
      </c>
      <c r="C2" s="19" t="s">
        <v>25</v>
      </c>
      <c r="D2" s="19" t="s">
        <v>26</v>
      </c>
      <c r="E2" s="19" t="s">
        <v>27</v>
      </c>
      <c r="F2" s="19" t="s">
        <v>28</v>
      </c>
      <c r="G2" s="19" t="s">
        <v>29</v>
      </c>
      <c r="H2" s="19" t="s">
        <v>30</v>
      </c>
      <c r="I2" s="19" t="s">
        <v>286</v>
      </c>
      <c r="J2" s="19" t="s">
        <v>32</v>
      </c>
      <c r="K2" s="19" t="s">
        <v>33</v>
      </c>
      <c r="L2" s="19" t="s">
        <v>34</v>
      </c>
      <c r="M2" s="19" t="s">
        <v>35</v>
      </c>
      <c r="N2" s="19" t="s">
        <v>36</v>
      </c>
      <c r="O2" s="19" t="s">
        <v>37</v>
      </c>
    </row>
    <row r="3" spans="1:15" ht="15" customHeight="1" x14ac:dyDescent="0.25">
      <c r="A3" s="8" t="s">
        <v>38</v>
      </c>
      <c r="B3" s="9">
        <v>45659</v>
      </c>
      <c r="C3" s="8" t="s">
        <v>39</v>
      </c>
      <c r="D3" s="8" t="s">
        <v>40</v>
      </c>
      <c r="E3" s="8">
        <v>29</v>
      </c>
      <c r="F3" s="8" t="str">
        <f>_xlfn.XLOOKUP(D3,'Cleaning Tasks'!D3:D100,'Cleaning Tasks'!P3:P100)</f>
        <v>Kolkata</v>
      </c>
      <c r="G3" s="8" t="str">
        <f>_xlfn.XLOOKUP(D3,'Cleaned Data'!D3:D100,'Cleaning Tasks'!Q3:Q100)</f>
        <v>Salary</v>
      </c>
      <c r="H3" s="48">
        <f>_xlfn.XLOOKUP(D3,'Cleaning Tasks'!D3:D100,'Cleaning Tasks'!H3:H100)</f>
        <v>65000</v>
      </c>
      <c r="I3" s="8" t="str">
        <f>_xlfn.XLOOKUP(D3,'Cleaning Tasks'!D3:D100,'Cleaning Tasks'!R3:R100)</f>
        <v>Rent</v>
      </c>
      <c r="J3" s="8">
        <v>18000</v>
      </c>
      <c r="K3" s="8" t="s">
        <v>44</v>
      </c>
      <c r="L3" s="48">
        <v>12000</v>
      </c>
      <c r="M3" s="8">
        <f>_xlfn.XLOOKUP(D3,'Cleaning Tasks'!D3:D100,'Cleaning Tasks'!S3:S100)</f>
        <v>5000</v>
      </c>
      <c r="N3" s="8">
        <v>742</v>
      </c>
      <c r="O3" s="8" t="s">
        <v>45</v>
      </c>
    </row>
    <row r="4" spans="1:15" ht="15" customHeight="1" x14ac:dyDescent="0.25">
      <c r="A4" s="8" t="s">
        <v>46</v>
      </c>
      <c r="B4" s="9">
        <v>45660</v>
      </c>
      <c r="C4" s="8" t="s">
        <v>47</v>
      </c>
      <c r="D4" s="8" t="s">
        <v>48</v>
      </c>
      <c r="E4" s="8">
        <v>34</v>
      </c>
      <c r="F4" s="8" t="str">
        <f>_xlfn.XLOOKUP(D4,'Cleaning Tasks'!D4:D101,'Cleaning Tasks'!P4:P101)</f>
        <v>Mumbai</v>
      </c>
      <c r="G4" s="8" t="str">
        <f>_xlfn.XLOOKUP(D4,'Cleaned Data'!D4:D101,'Cleaning Tasks'!Q4:Q101)</f>
        <v>Freelancing</v>
      </c>
      <c r="H4" s="48">
        <f>_xlfn.XLOOKUP(D4,'Cleaning Tasks'!D4:D101,'Cleaning Tasks'!H4:H101)</f>
        <v>72000</v>
      </c>
      <c r="I4" s="8" t="str">
        <f>_xlfn.XLOOKUP(D4,'Cleaning Tasks'!D4:D101,'Cleaning Tasks'!R4:R101)</f>
        <v>Groceries</v>
      </c>
      <c r="J4" s="8">
        <v>6500</v>
      </c>
      <c r="K4" s="8" t="s">
        <v>52</v>
      </c>
      <c r="L4" s="48">
        <v>15000</v>
      </c>
      <c r="M4" s="8">
        <f>_xlfn.XLOOKUP(D4,'Cleaning Tasks'!D4:D101,'Cleaning Tasks'!S4:S101)</f>
        <v>0</v>
      </c>
      <c r="N4" s="8">
        <v>788</v>
      </c>
      <c r="O4" s="8" t="s">
        <v>53</v>
      </c>
    </row>
    <row r="5" spans="1:15" ht="15" customHeight="1" x14ac:dyDescent="0.25">
      <c r="A5" s="8" t="s">
        <v>54</v>
      </c>
      <c r="B5" s="9">
        <v>45661</v>
      </c>
      <c r="C5" s="8" t="s">
        <v>55</v>
      </c>
      <c r="D5" s="8" t="s">
        <v>56</v>
      </c>
      <c r="E5" s="8">
        <v>26</v>
      </c>
      <c r="F5" s="8" t="str">
        <f>_xlfn.XLOOKUP(D5,'Cleaning Tasks'!D5:D102,'Cleaning Tasks'!P5:P102)</f>
        <v>Unknown</v>
      </c>
      <c r="G5" s="8" t="str">
        <f>_xlfn.XLOOKUP(D5,'Cleaned Data'!D5:D102,'Cleaning Tasks'!Q5:Q102)</f>
        <v>Salary</v>
      </c>
      <c r="H5" s="48">
        <f>_xlfn.XLOOKUP(D5,'Cleaning Tasks'!D5:D102,'Cleaning Tasks'!H5:H102)</f>
        <v>54000</v>
      </c>
      <c r="I5" s="8" t="str">
        <f>_xlfn.XLOOKUP(D5,'Cleaning Tasks'!D5:D102,'Cleaning Tasks'!R5:R102)</f>
        <v>Unknown</v>
      </c>
      <c r="J5" s="8">
        <v>3200</v>
      </c>
      <c r="K5" s="8" t="s">
        <v>57</v>
      </c>
      <c r="L5" s="48">
        <v>8000</v>
      </c>
      <c r="M5" s="8">
        <f>_xlfn.XLOOKUP(D5,'Cleaning Tasks'!D5:D102,'Cleaning Tasks'!S5:S102)</f>
        <v>2500</v>
      </c>
      <c r="N5" s="8">
        <v>689</v>
      </c>
      <c r="O5" s="8" t="s">
        <v>58</v>
      </c>
    </row>
    <row r="6" spans="1:15" ht="15" customHeight="1" x14ac:dyDescent="0.25">
      <c r="A6" s="8" t="s">
        <v>59</v>
      </c>
      <c r="B6" s="9">
        <v>45662</v>
      </c>
      <c r="C6" s="8" t="s">
        <v>60</v>
      </c>
      <c r="D6" s="8" t="s">
        <v>61</v>
      </c>
      <c r="E6" s="8">
        <v>31</v>
      </c>
      <c r="F6" s="8" t="str">
        <f>_xlfn.XLOOKUP(D6,'Cleaning Tasks'!D6:D103,'Cleaning Tasks'!P6:P103)</f>
        <v>Bangalore</v>
      </c>
      <c r="G6" s="8" t="str">
        <f>_xlfn.XLOOKUP(D6,'Cleaned Data'!D6:D103,'Cleaning Tasks'!Q6:Q103)</f>
        <v>Business</v>
      </c>
      <c r="H6" s="48">
        <f>_xlfn.XLOOKUP(D6,'Cleaning Tasks'!D6:D103,'Cleaning Tasks'!H6:H103)</f>
        <v>98000</v>
      </c>
      <c r="I6" s="8" t="str">
        <f>_xlfn.XLOOKUP(D6,'Cleaning Tasks'!D6:D103,'Cleaning Tasks'!R6:R103)</f>
        <v>Utilities</v>
      </c>
      <c r="J6" s="8">
        <v>5400</v>
      </c>
      <c r="K6" s="8" t="s">
        <v>65</v>
      </c>
      <c r="L6" s="48">
        <v>25000</v>
      </c>
      <c r="M6" s="8">
        <f>_xlfn.XLOOKUP(D6,'Cleaning Tasks'!D6:D103,'Cleaning Tasks'!S6:S103)</f>
        <v>8000</v>
      </c>
      <c r="N6" s="8">
        <v>801</v>
      </c>
      <c r="O6" s="8" t="s">
        <v>66</v>
      </c>
    </row>
    <row r="7" spans="1:15" ht="15" customHeight="1" x14ac:dyDescent="0.25">
      <c r="A7" s="8" t="s">
        <v>67</v>
      </c>
      <c r="B7" s="9">
        <v>45663</v>
      </c>
      <c r="C7" s="8" t="s">
        <v>68</v>
      </c>
      <c r="D7" s="8" t="s">
        <v>69</v>
      </c>
      <c r="E7" s="8">
        <v>38</v>
      </c>
      <c r="F7" s="8" t="str">
        <f>_xlfn.XLOOKUP(D7,'Cleaning Tasks'!D7:D104,'Cleaning Tasks'!P7:P104)</f>
        <v>Hyderabad</v>
      </c>
      <c r="G7" s="8" t="str">
        <f>_xlfn.XLOOKUP(D7,'Cleaned Data'!D7:D104,'Cleaning Tasks'!Q7:Q104)</f>
        <v>Salary</v>
      </c>
      <c r="H7" s="48">
        <f>_xlfn.XLOOKUP(D7,'Cleaning Tasks'!D7:D104,'Cleaning Tasks'!H7:H104)</f>
        <v>85000</v>
      </c>
      <c r="I7" s="8" t="str">
        <f>_xlfn.XLOOKUP(D7,'Cleaning Tasks'!D7:D104,'Cleaning Tasks'!R7:R104)</f>
        <v>Entertainment</v>
      </c>
      <c r="J7" s="8">
        <v>7600</v>
      </c>
      <c r="K7" s="8" t="s">
        <v>52</v>
      </c>
      <c r="L7" s="48">
        <v>10000</v>
      </c>
      <c r="M7" s="8">
        <f>_xlfn.XLOOKUP(D7,'Cleaning Tasks'!D7:D104,'Cleaning Tasks'!S7:S104)</f>
        <v>12000</v>
      </c>
      <c r="N7" s="8">
        <v>655</v>
      </c>
      <c r="O7" s="8" t="s">
        <v>72</v>
      </c>
    </row>
    <row r="8" spans="1:15" ht="15" customHeight="1" x14ac:dyDescent="0.25">
      <c r="A8" s="8" t="s">
        <v>73</v>
      </c>
      <c r="B8" s="9">
        <v>45664</v>
      </c>
      <c r="C8" s="8" t="s">
        <v>74</v>
      </c>
      <c r="D8" s="8" t="s">
        <v>75</v>
      </c>
      <c r="E8" s="8">
        <v>27</v>
      </c>
      <c r="F8" s="8" t="str">
        <f>_xlfn.XLOOKUP(D8,'Cleaning Tasks'!D8:D105,'Cleaning Tasks'!P8:P105)</f>
        <v>Pune</v>
      </c>
      <c r="G8" s="8" t="str">
        <f>_xlfn.XLOOKUP(D8,'Cleaned Data'!D8:D105,'Cleaning Tasks'!Q8:Q105)</f>
        <v>Salary</v>
      </c>
      <c r="H8" s="48">
        <f>_xlfn.XLOOKUP(D8,'Cleaning Tasks'!D8:D105,'Cleaning Tasks'!H8:H105)</f>
        <v>61000</v>
      </c>
      <c r="I8" s="8" t="str">
        <f>_xlfn.XLOOKUP(D8,'Cleaning Tasks'!D8:D105,'Cleaning Tasks'!R8:R105)</f>
        <v>Healthcare</v>
      </c>
      <c r="J8" s="8">
        <v>2400</v>
      </c>
      <c r="K8" s="8" t="s">
        <v>44</v>
      </c>
      <c r="L8" s="48">
        <v>17000</v>
      </c>
      <c r="M8" s="8">
        <f>_xlfn.XLOOKUP(D8,'Cleaning Tasks'!D8:D105,'Cleaning Tasks'!S8:S105)</f>
        <v>0</v>
      </c>
      <c r="N8" s="8">
        <v>771</v>
      </c>
      <c r="O8" s="8" t="s">
        <v>53</v>
      </c>
    </row>
    <row r="9" spans="1:15" ht="15" customHeight="1" x14ac:dyDescent="0.25">
      <c r="A9" s="8" t="s">
        <v>78</v>
      </c>
      <c r="B9" s="9">
        <v>45665</v>
      </c>
      <c r="C9" s="8" t="s">
        <v>79</v>
      </c>
      <c r="D9" s="8" t="s">
        <v>80</v>
      </c>
      <c r="E9" s="8">
        <v>42</v>
      </c>
      <c r="F9" s="8" t="str">
        <f>_xlfn.XLOOKUP(D9,'Cleaning Tasks'!D9:D106,'Cleaning Tasks'!P9:P106)</f>
        <v>Chennai</v>
      </c>
      <c r="G9" s="8" t="str">
        <f>_xlfn.XLOOKUP(D9,'Cleaned Data'!D9:D106,'Cleaning Tasks'!Q9:Q106)</f>
        <v>Business</v>
      </c>
      <c r="H9" s="48">
        <f>_xlfn.XLOOKUP(D9,'Cleaning Tasks'!D9:D106,'Cleaning Tasks'!H9:H106)</f>
        <v>120000</v>
      </c>
      <c r="I9" s="8" t="str">
        <f>_xlfn.XLOOKUP(D9,'Cleaning Tasks'!D9:D106,'Cleaning Tasks'!R9:R106)</f>
        <v>Rent</v>
      </c>
      <c r="J9" s="8">
        <v>25000</v>
      </c>
      <c r="K9" s="8" t="s">
        <v>82</v>
      </c>
      <c r="L9" s="48">
        <v>35000</v>
      </c>
      <c r="M9" s="8">
        <f>_xlfn.XLOOKUP(D9,'Cleaning Tasks'!D9:D106,'Cleaning Tasks'!S9:S106)</f>
        <v>18000</v>
      </c>
      <c r="N9" s="8">
        <v>720</v>
      </c>
      <c r="O9" s="8" t="s">
        <v>45</v>
      </c>
    </row>
    <row r="10" spans="1:15" ht="15" customHeight="1" x14ac:dyDescent="0.25">
      <c r="A10" s="8" t="s">
        <v>83</v>
      </c>
      <c r="B10" s="9">
        <v>45666</v>
      </c>
      <c r="C10" s="8" t="s">
        <v>84</v>
      </c>
      <c r="D10" s="8" t="s">
        <v>85</v>
      </c>
      <c r="E10" s="8">
        <v>24</v>
      </c>
      <c r="F10" s="8" t="str">
        <f>_xlfn.XLOOKUP(D10,'Cleaning Tasks'!D10:D107,'Cleaning Tasks'!P10:P107)</f>
        <v>Kolkata</v>
      </c>
      <c r="G10" s="8" t="str">
        <f>_xlfn.XLOOKUP(D10,'Cleaned Data'!D10:D107,'Cleaning Tasks'!Q10:Q107)</f>
        <v>Internship</v>
      </c>
      <c r="H10" s="48">
        <f>_xlfn.XLOOKUP(D10,'Cleaning Tasks'!D10:D107,'Cleaning Tasks'!H10:H107)</f>
        <v>28000</v>
      </c>
      <c r="I10" s="8" t="str">
        <f>_xlfn.XLOOKUP(D10,'Cleaning Tasks'!D10:D107,'Cleaning Tasks'!R10:R107)</f>
        <v>Education</v>
      </c>
      <c r="J10" s="8">
        <v>4500</v>
      </c>
      <c r="K10" s="8" t="s">
        <v>44</v>
      </c>
      <c r="L10" s="48">
        <v>5000</v>
      </c>
      <c r="M10" s="8">
        <f>_xlfn.XLOOKUP(D10,'Cleaning Tasks'!D10:D107,'Cleaning Tasks'!S10:S107)</f>
        <v>0</v>
      </c>
      <c r="N10" s="8">
        <v>690</v>
      </c>
      <c r="O10" s="8" t="s">
        <v>58</v>
      </c>
    </row>
    <row r="11" spans="1:15" ht="15" customHeight="1" x14ac:dyDescent="0.25">
      <c r="A11" s="8" t="s">
        <v>88</v>
      </c>
      <c r="B11" s="9">
        <v>45667</v>
      </c>
      <c r="C11" s="8" t="s">
        <v>89</v>
      </c>
      <c r="D11" s="8" t="s">
        <v>90</v>
      </c>
      <c r="E11" s="8">
        <v>36</v>
      </c>
      <c r="F11" s="8" t="str">
        <f>_xlfn.XLOOKUP(D11,'Cleaning Tasks'!D11:D108,'Cleaning Tasks'!P11:P108)</f>
        <v>Kochi</v>
      </c>
      <c r="G11" s="8" t="str">
        <f>_xlfn.XLOOKUP(D11,'Cleaned Data'!D11:D108,'Cleaning Tasks'!Q11:Q108)</f>
        <v>Salary</v>
      </c>
      <c r="H11" s="48">
        <f>_xlfn.XLOOKUP(D11,'Cleaning Tasks'!D11:D108,'Cleaning Tasks'!H11:H108)</f>
        <v>76000</v>
      </c>
      <c r="I11" s="8" t="str">
        <f>_xlfn.XLOOKUP(D11,'Cleaning Tasks'!D11:D108,'Cleaning Tasks'!R11:R108)</f>
        <v>Unknown</v>
      </c>
      <c r="J11" s="8">
        <v>8200</v>
      </c>
      <c r="K11" s="8" t="s">
        <v>52</v>
      </c>
      <c r="L11" s="48">
        <v>14000</v>
      </c>
      <c r="M11" s="8">
        <f>_xlfn.XLOOKUP(D11,'Cleaning Tasks'!D11:D108,'Cleaning Tasks'!S11:S108)</f>
        <v>7000</v>
      </c>
      <c r="N11" s="8">
        <v>745</v>
      </c>
      <c r="O11" s="8" t="s">
        <v>45</v>
      </c>
    </row>
    <row r="12" spans="1:15" ht="15" customHeight="1" x14ac:dyDescent="0.25">
      <c r="A12" s="8" t="s">
        <v>92</v>
      </c>
      <c r="B12" s="9">
        <v>45668</v>
      </c>
      <c r="C12" s="8" t="s">
        <v>93</v>
      </c>
      <c r="D12" s="8" t="s">
        <v>94</v>
      </c>
      <c r="E12" s="8">
        <v>30</v>
      </c>
      <c r="F12" s="8" t="str">
        <f>_xlfn.XLOOKUP(D12,'Cleaning Tasks'!D12:D109,'Cleaning Tasks'!P12:P109)</f>
        <v>Jaipur</v>
      </c>
      <c r="G12" s="8" t="str">
        <f>_xlfn.XLOOKUP(D12,'Cleaned Data'!D12:D109,'Cleaning Tasks'!Q12:Q109)</f>
        <v>Freelancing</v>
      </c>
      <c r="H12" s="48">
        <f>_xlfn.XLOOKUP(D12,'Cleaning Tasks'!D12:D109,'Cleaning Tasks'!H12:H109)</f>
        <v>68000</v>
      </c>
      <c r="I12" s="8" t="str">
        <f>_xlfn.XLOOKUP(D12,'Cleaning Tasks'!D12:D109,'Cleaning Tasks'!R12:R109)</f>
        <v>Shopping</v>
      </c>
      <c r="J12" s="8">
        <v>9200</v>
      </c>
      <c r="K12" s="8" t="s">
        <v>44</v>
      </c>
      <c r="L12" s="48">
        <v>11000</v>
      </c>
      <c r="M12" s="8">
        <f>_xlfn.XLOOKUP(D12,'Cleaning Tasks'!D12:D109,'Cleaning Tasks'!S12:S109)</f>
        <v>3000</v>
      </c>
      <c r="N12" s="8">
        <v>732</v>
      </c>
      <c r="O12" s="8" t="s">
        <v>53</v>
      </c>
    </row>
    <row r="13" spans="1:15" ht="15" customHeight="1" x14ac:dyDescent="0.25">
      <c r="A13" s="8" t="s">
        <v>97</v>
      </c>
      <c r="B13" s="9">
        <v>45669</v>
      </c>
      <c r="C13" s="8" t="s">
        <v>98</v>
      </c>
      <c r="D13" s="8" t="s">
        <v>99</v>
      </c>
      <c r="E13" s="8">
        <v>45</v>
      </c>
      <c r="F13" s="8" t="str">
        <f>_xlfn.XLOOKUP(D13,'Cleaning Tasks'!D13:D110,'Cleaning Tasks'!P13:P110)</f>
        <v>Kolkata</v>
      </c>
      <c r="G13" s="8" t="str">
        <f>_xlfn.XLOOKUP(D13,'Cleaned Data'!D13:D110,'Cleaning Tasks'!Q13:Q110)</f>
        <v>Business</v>
      </c>
      <c r="H13" s="48">
        <f>_xlfn.XLOOKUP(D13,'Cleaning Tasks'!D13:D110,'Cleaning Tasks'!H13:H110)</f>
        <v>150000</v>
      </c>
      <c r="I13" s="8" t="str">
        <f>_xlfn.XLOOKUP(D13,'Cleaning Tasks'!D13:D110,'Cleaning Tasks'!R13:R110)</f>
        <v>Investment</v>
      </c>
      <c r="J13" s="8">
        <v>35000</v>
      </c>
      <c r="K13" s="8" t="s">
        <v>65</v>
      </c>
      <c r="L13" s="48">
        <v>40000</v>
      </c>
      <c r="M13" s="8">
        <f>_xlfn.XLOOKUP(D13,'Cleaning Tasks'!D13:D110,'Cleaning Tasks'!S13:S110)</f>
        <v>20000</v>
      </c>
      <c r="N13" s="8">
        <v>810</v>
      </c>
      <c r="O13" s="8" t="s">
        <v>66</v>
      </c>
    </row>
    <row r="14" spans="1:15" ht="15" customHeight="1" x14ac:dyDescent="0.25">
      <c r="A14" s="8" t="s">
        <v>101</v>
      </c>
      <c r="B14" s="9">
        <v>45670</v>
      </c>
      <c r="C14" s="8" t="s">
        <v>102</v>
      </c>
      <c r="D14" s="8" t="s">
        <v>103</v>
      </c>
      <c r="E14" s="8">
        <v>28</v>
      </c>
      <c r="F14" s="8" t="str">
        <f>_xlfn.XLOOKUP(D14,'Cleaning Tasks'!D14:D111,'Cleaning Tasks'!P14:P111)</f>
        <v>Delhi</v>
      </c>
      <c r="G14" s="8" t="str">
        <f>_xlfn.XLOOKUP(D14,'Cleaned Data'!D14:D111,'Cleaning Tasks'!Q14:Q111)</f>
        <v>Unknown</v>
      </c>
      <c r="H14" s="48">
        <f>_xlfn.XLOOKUP(D14,'Cleaning Tasks'!D14:D111,'Cleaning Tasks'!H14:H111)</f>
        <v>59000</v>
      </c>
      <c r="I14" s="8" t="str">
        <f>_xlfn.XLOOKUP(D14,'Cleaning Tasks'!D14:D111,'Cleaning Tasks'!R14:R111)</f>
        <v>Food</v>
      </c>
      <c r="J14" s="8">
        <v>5800</v>
      </c>
      <c r="K14" s="8" t="s">
        <v>293</v>
      </c>
      <c r="L14" s="48">
        <v>9000</v>
      </c>
      <c r="M14" s="8">
        <f>_xlfn.XLOOKUP(D14,'Cleaning Tasks'!D14:D111,'Cleaning Tasks'!S14:S111)</f>
        <v>2500</v>
      </c>
      <c r="N14" s="8">
        <v>704</v>
      </c>
      <c r="O14" s="8" t="s">
        <v>45</v>
      </c>
    </row>
    <row r="15" spans="1:15" ht="15" customHeight="1" x14ac:dyDescent="0.25">
      <c r="A15" s="8" t="s">
        <v>106</v>
      </c>
      <c r="B15" s="9">
        <v>45671</v>
      </c>
      <c r="C15" s="8" t="s">
        <v>39</v>
      </c>
      <c r="D15" s="8" t="s">
        <v>107</v>
      </c>
      <c r="E15" s="8">
        <v>33</v>
      </c>
      <c r="F15" s="8" t="str">
        <f>_xlfn.XLOOKUP(D15,'Cleaning Tasks'!D15:D112,'Cleaning Tasks'!P15:P112)</f>
        <v>Unknown</v>
      </c>
      <c r="G15" s="8" t="str">
        <f>_xlfn.XLOOKUP(D15,'Cleaned Data'!D15:D112,'Cleaning Tasks'!Q15:Q112)</f>
        <v>Salary</v>
      </c>
      <c r="H15" s="48">
        <f>_xlfn.XLOOKUP(D15,'Cleaning Tasks'!D15:D112,'Cleaning Tasks'!H15:H112)</f>
        <v>71000</v>
      </c>
      <c r="I15" s="8" t="str">
        <f>_xlfn.XLOOKUP(D15,'Cleaning Tasks'!D15:D112,'Cleaning Tasks'!R15:R112)</f>
        <v>Rent</v>
      </c>
      <c r="J15" s="8">
        <v>21000</v>
      </c>
      <c r="K15" s="8" t="s">
        <v>44</v>
      </c>
      <c r="L15" s="48">
        <v>13000</v>
      </c>
      <c r="M15" s="8">
        <f>_xlfn.XLOOKUP(D15,'Cleaning Tasks'!D15:D112,'Cleaning Tasks'!S15:S112)</f>
        <v>6000</v>
      </c>
      <c r="N15" s="8">
        <v>740</v>
      </c>
      <c r="O15" s="8" t="s">
        <v>53</v>
      </c>
    </row>
    <row r="16" spans="1:15" ht="15" customHeight="1" x14ac:dyDescent="0.25">
      <c r="A16" s="8" t="s">
        <v>108</v>
      </c>
      <c r="B16" s="9">
        <v>45672</v>
      </c>
      <c r="C16" s="8" t="s">
        <v>47</v>
      </c>
      <c r="D16" s="8" t="s">
        <v>109</v>
      </c>
      <c r="E16" s="8">
        <v>25</v>
      </c>
      <c r="F16" s="8" t="str">
        <f>_xlfn.XLOOKUP(D16,'Cleaning Tasks'!D16:D113,'Cleaning Tasks'!P16:P113)</f>
        <v>Pune</v>
      </c>
      <c r="G16" s="8" t="str">
        <f>_xlfn.XLOOKUP(D16,'Cleaned Data'!D16:D113,'Cleaning Tasks'!Q16:Q113)</f>
        <v>Freelancing</v>
      </c>
      <c r="H16" s="48">
        <f>_xlfn.XLOOKUP(D16,'Cleaning Tasks'!D16:D113,'Cleaning Tasks'!H16:H113)</f>
        <v>47000</v>
      </c>
      <c r="I16" s="8" t="str">
        <f>_xlfn.XLOOKUP(D16,'Cleaning Tasks'!D16:D113,'Cleaning Tasks'!R16:R113)</f>
        <v>Entertainment</v>
      </c>
      <c r="J16" s="8">
        <v>4200</v>
      </c>
      <c r="K16" s="8" t="s">
        <v>52</v>
      </c>
      <c r="L16" s="48">
        <v>7000</v>
      </c>
      <c r="M16" s="8">
        <f>_xlfn.XLOOKUP(D16,'Cleaning Tasks'!D16:D113,'Cleaning Tasks'!S16:S113)</f>
        <v>0</v>
      </c>
      <c r="N16" s="8">
        <v>681</v>
      </c>
      <c r="O16" s="8" t="s">
        <v>58</v>
      </c>
    </row>
    <row r="17" spans="1:15" ht="15" customHeight="1" x14ac:dyDescent="0.25">
      <c r="A17" s="8" t="s">
        <v>110</v>
      </c>
      <c r="B17" s="9">
        <v>45673</v>
      </c>
      <c r="C17" s="8" t="s">
        <v>55</v>
      </c>
      <c r="D17" s="8" t="s">
        <v>111</v>
      </c>
      <c r="E17" s="8">
        <v>39</v>
      </c>
      <c r="F17" s="8" t="str">
        <f>_xlfn.XLOOKUP(D17,'Cleaning Tasks'!D17:D114,'Cleaning Tasks'!P17:P114)</f>
        <v>Bangalore</v>
      </c>
      <c r="G17" s="8" t="str">
        <f>_xlfn.XLOOKUP(D17,'Cleaned Data'!D17:D114,'Cleaning Tasks'!Q17:Q114)</f>
        <v>Business</v>
      </c>
      <c r="H17" s="48">
        <f>_xlfn.XLOOKUP(D17,'Cleaning Tasks'!D17:D114,'Cleaning Tasks'!H17:H114)</f>
        <v>132000</v>
      </c>
      <c r="I17" s="8" t="str">
        <f>_xlfn.XLOOKUP(D17,'Cleaning Tasks'!D17:D114,'Cleaning Tasks'!R17:R114)</f>
        <v>Healthcare</v>
      </c>
      <c r="J17" s="8">
        <v>6800</v>
      </c>
      <c r="K17" s="8" t="s">
        <v>65</v>
      </c>
      <c r="L17" s="48">
        <v>30000</v>
      </c>
      <c r="M17" s="8">
        <f>_xlfn.XLOOKUP(D17,'Cleaning Tasks'!D17:D114,'Cleaning Tasks'!S17:S114)</f>
        <v>15000</v>
      </c>
      <c r="N17" s="8">
        <v>790</v>
      </c>
      <c r="O17" s="8" t="s">
        <v>66</v>
      </c>
    </row>
    <row r="18" spans="1:15" ht="15" customHeight="1" x14ac:dyDescent="0.25">
      <c r="A18" s="8" t="s">
        <v>112</v>
      </c>
      <c r="B18" s="9">
        <v>45674</v>
      </c>
      <c r="C18" s="8" t="s">
        <v>60</v>
      </c>
      <c r="D18" s="8" t="s">
        <v>113</v>
      </c>
      <c r="E18" s="8">
        <v>29</v>
      </c>
      <c r="F18" s="8" t="str">
        <f>_xlfn.XLOOKUP(D18,'Cleaning Tasks'!D18:D115,'Cleaning Tasks'!P18:P115)</f>
        <v>Delhi</v>
      </c>
      <c r="G18" s="8" t="str">
        <f>_xlfn.XLOOKUP(D18,'Cleaned Data'!D18:D115,'Cleaning Tasks'!Q18:Q115)</f>
        <v>Salary</v>
      </c>
      <c r="H18" s="48">
        <f>_xlfn.XLOOKUP(D18,'Cleaning Tasks'!D18:D115,'Cleaning Tasks'!H18:H115)</f>
        <v>62000</v>
      </c>
      <c r="I18" s="8" t="str">
        <f>_xlfn.XLOOKUP(D18,'Cleaning Tasks'!D18:D115,'Cleaning Tasks'!R18:R115)</f>
        <v>Groceries</v>
      </c>
      <c r="J18" s="8">
        <v>5900</v>
      </c>
      <c r="K18" s="8" t="s">
        <v>44</v>
      </c>
      <c r="L18" s="48">
        <v>12000</v>
      </c>
      <c r="M18" s="8">
        <f>_xlfn.XLOOKUP(D18,'Cleaning Tasks'!D18:D115,'Cleaning Tasks'!S18:S115)</f>
        <v>3000</v>
      </c>
      <c r="N18" s="8">
        <v>725</v>
      </c>
      <c r="O18" s="8" t="s">
        <v>53</v>
      </c>
    </row>
    <row r="19" spans="1:15" ht="15" customHeight="1" x14ac:dyDescent="0.25">
      <c r="A19" s="8" t="s">
        <v>114</v>
      </c>
      <c r="B19" s="9">
        <v>45675</v>
      </c>
      <c r="C19" s="8" t="s">
        <v>68</v>
      </c>
      <c r="D19" s="8" t="s">
        <v>115</v>
      </c>
      <c r="E19" s="8">
        <v>35</v>
      </c>
      <c r="F19" s="8" t="str">
        <f>_xlfn.XLOOKUP(D19,'Cleaning Tasks'!D19:D116,'Cleaning Tasks'!P19:P116)</f>
        <v>Mumbai</v>
      </c>
      <c r="G19" s="8" t="str">
        <f>_xlfn.XLOOKUP(D19,'Cleaned Data'!D19:D116,'Cleaning Tasks'!Q19:Q116)</f>
        <v>Salary</v>
      </c>
      <c r="H19" s="48">
        <f>_xlfn.XLOOKUP(D19,'Cleaning Tasks'!D19:D116,'Cleaning Tasks'!H19:H116)</f>
        <v>81000</v>
      </c>
      <c r="I19" s="8" t="str">
        <f>_xlfn.XLOOKUP(D19,'Cleaning Tasks'!D19:D116,'Cleaning Tasks'!R19:R116)</f>
        <v>Transport</v>
      </c>
      <c r="J19" s="8">
        <v>4100</v>
      </c>
      <c r="K19" s="8" t="s">
        <v>57</v>
      </c>
      <c r="L19" s="48">
        <v>16000</v>
      </c>
      <c r="M19" s="8">
        <f>_xlfn.XLOOKUP(D19,'Cleaning Tasks'!D19:D116,'Cleaning Tasks'!S19:S116)</f>
        <v>9000</v>
      </c>
      <c r="N19" s="8">
        <v>710</v>
      </c>
      <c r="O19" s="8" t="s">
        <v>45</v>
      </c>
    </row>
    <row r="20" spans="1:15" ht="15" customHeight="1" x14ac:dyDescent="0.25">
      <c r="A20" s="8" t="s">
        <v>117</v>
      </c>
      <c r="B20" s="9">
        <v>45676</v>
      </c>
      <c r="C20" s="8" t="s">
        <v>74</v>
      </c>
      <c r="D20" s="8" t="s">
        <v>118</v>
      </c>
      <c r="E20" s="8">
        <v>27</v>
      </c>
      <c r="F20" s="8" t="str">
        <f>_xlfn.XLOOKUP(D20,'Cleaning Tasks'!D20:D117,'Cleaning Tasks'!P20:P117)</f>
        <v>Chandigarh</v>
      </c>
      <c r="G20" s="8" t="str">
        <f>_xlfn.XLOOKUP(D20,'Cleaned Data'!D20:D117,'Cleaning Tasks'!Q20:Q117)</f>
        <v>Freelancing</v>
      </c>
      <c r="H20" s="48">
        <f>_xlfn.XLOOKUP(D20,'Cleaning Tasks'!D20:D117,'Cleaning Tasks'!H20:H117)</f>
        <v>56000</v>
      </c>
      <c r="I20" s="8" t="str">
        <f>_xlfn.XLOOKUP(D20,'Cleaning Tasks'!D20:D117,'Cleaning Tasks'!R20:R117)</f>
        <v>Unknown</v>
      </c>
      <c r="J20" s="8">
        <v>9700</v>
      </c>
      <c r="K20" s="8" t="s">
        <v>52</v>
      </c>
      <c r="L20" s="48">
        <v>8500</v>
      </c>
      <c r="M20" s="8">
        <f>_xlfn.XLOOKUP(D20,'Cleaning Tasks'!D20:D117,'Cleaning Tasks'!S20:S117)</f>
        <v>0</v>
      </c>
      <c r="N20" s="8">
        <v>699</v>
      </c>
      <c r="O20" s="8" t="s">
        <v>58</v>
      </c>
    </row>
    <row r="21" spans="1:15" ht="15" customHeight="1" x14ac:dyDescent="0.25">
      <c r="A21" s="8" t="s">
        <v>120</v>
      </c>
      <c r="B21" s="9">
        <v>45677</v>
      </c>
      <c r="C21" s="8" t="s">
        <v>79</v>
      </c>
      <c r="D21" s="8" t="s">
        <v>121</v>
      </c>
      <c r="E21" s="8">
        <v>41</v>
      </c>
      <c r="F21" s="8" t="str">
        <f>_xlfn.XLOOKUP(D21,'Cleaning Tasks'!D21:D118,'Cleaning Tasks'!P21:P118)</f>
        <v>Delhi</v>
      </c>
      <c r="G21" s="8" t="str">
        <f>_xlfn.XLOOKUP(D21,'Cleaned Data'!D21:D118,'Cleaning Tasks'!Q21:Q118)</f>
        <v>Business</v>
      </c>
      <c r="H21" s="48">
        <f>_xlfn.XLOOKUP(D21,'Cleaning Tasks'!D21:D118,'Cleaning Tasks'!H21:H118)</f>
        <v>145000</v>
      </c>
      <c r="I21" s="8" t="str">
        <f>_xlfn.XLOOKUP(D21,'Cleaning Tasks'!D21:D118,'Cleaning Tasks'!R21:R118)</f>
        <v>Utilities</v>
      </c>
      <c r="J21" s="8">
        <v>7800</v>
      </c>
      <c r="K21" s="8" t="s">
        <v>82</v>
      </c>
      <c r="L21" s="48">
        <v>42000</v>
      </c>
      <c r="M21" s="8">
        <f>_xlfn.XLOOKUP(D21,'Cleaning Tasks'!D21:D118,'Cleaning Tasks'!S21:S118)</f>
        <v>25000</v>
      </c>
      <c r="N21" s="8">
        <v>805</v>
      </c>
      <c r="O21" s="8" t="s">
        <v>66</v>
      </c>
    </row>
    <row r="22" spans="1:15" ht="15" customHeight="1" x14ac:dyDescent="0.25">
      <c r="A22" s="8" t="s">
        <v>122</v>
      </c>
      <c r="B22" s="9">
        <v>45678</v>
      </c>
      <c r="C22" s="8" t="s">
        <v>84</v>
      </c>
      <c r="D22" s="8" t="s">
        <v>123</v>
      </c>
      <c r="E22" s="8">
        <v>32</v>
      </c>
      <c r="F22" s="8" t="str">
        <f>_xlfn.XLOOKUP(D22,'Cleaning Tasks'!D22:D119,'Cleaning Tasks'!P22:P119)</f>
        <v>Ahmedabad</v>
      </c>
      <c r="G22" s="8" t="str">
        <f>_xlfn.XLOOKUP(D22,'Cleaned Data'!D22:D119,'Cleaning Tasks'!Q22:Q119)</f>
        <v>Salary</v>
      </c>
      <c r="H22" s="48">
        <f>_xlfn.XLOOKUP(D22,'Cleaning Tasks'!D22:D119,'Cleaning Tasks'!H22:H119)</f>
        <v>69000</v>
      </c>
      <c r="I22" s="8" t="str">
        <f>_xlfn.XLOOKUP(D22,'Cleaning Tasks'!D22:D119,'Cleaning Tasks'!R22:R119)</f>
        <v>Food</v>
      </c>
      <c r="J22" s="8">
        <v>6300</v>
      </c>
      <c r="K22" s="8" t="s">
        <v>44</v>
      </c>
      <c r="L22" s="48">
        <v>10000</v>
      </c>
      <c r="M22" s="8">
        <f>_xlfn.XLOOKUP(D22,'Cleaning Tasks'!D22:D119,'Cleaning Tasks'!S22:S119)</f>
        <v>4500</v>
      </c>
      <c r="N22" s="8">
        <v>730</v>
      </c>
      <c r="O22" s="8" t="s">
        <v>53</v>
      </c>
    </row>
    <row r="23" spans="1:15" ht="15" customHeight="1" x14ac:dyDescent="0.25">
      <c r="A23" s="8" t="s">
        <v>125</v>
      </c>
      <c r="B23" s="9">
        <v>45679</v>
      </c>
      <c r="C23" s="8" t="s">
        <v>89</v>
      </c>
      <c r="D23" s="8" t="s">
        <v>126</v>
      </c>
      <c r="E23" s="8">
        <v>37</v>
      </c>
      <c r="F23" s="8" t="str">
        <f>_xlfn.XLOOKUP(D23,'Cleaning Tasks'!D23:D120,'Cleaning Tasks'!P23:P120)</f>
        <v>Patna</v>
      </c>
      <c r="G23" s="8" t="str">
        <f>_xlfn.XLOOKUP(D23,'Cleaned Data'!D23:D120,'Cleaning Tasks'!Q23:Q120)</f>
        <v>Salary</v>
      </c>
      <c r="H23" s="48">
        <f>_xlfn.XLOOKUP(D23,'Cleaning Tasks'!D23:D120,'Cleaning Tasks'!H23:H120)</f>
        <v>57000</v>
      </c>
      <c r="I23" s="8" t="str">
        <f>_xlfn.XLOOKUP(D23,'Cleaning Tasks'!D23:D120,'Cleaning Tasks'!R23:R120)</f>
        <v>Rent</v>
      </c>
      <c r="J23" s="8">
        <v>16000</v>
      </c>
      <c r="K23" s="8" t="s">
        <v>57</v>
      </c>
      <c r="L23" s="48">
        <v>6000</v>
      </c>
      <c r="M23" s="8">
        <f>_xlfn.XLOOKUP(D23,'Cleaning Tasks'!D23:D120,'Cleaning Tasks'!S23:S120)</f>
        <v>5500</v>
      </c>
      <c r="N23" s="8">
        <v>670</v>
      </c>
      <c r="O23" s="8" t="s">
        <v>72</v>
      </c>
    </row>
    <row r="24" spans="1:15" ht="15" customHeight="1" x14ac:dyDescent="0.25">
      <c r="A24" s="8" t="s">
        <v>128</v>
      </c>
      <c r="B24" s="9">
        <v>45680</v>
      </c>
      <c r="C24" s="8" t="s">
        <v>93</v>
      </c>
      <c r="D24" s="8" t="s">
        <v>129</v>
      </c>
      <c r="E24" s="8">
        <v>26</v>
      </c>
      <c r="F24" s="8" t="str">
        <f>_xlfn.XLOOKUP(D24,'Cleaning Tasks'!D24:D121,'Cleaning Tasks'!P24:P121)</f>
        <v>Surat</v>
      </c>
      <c r="G24" s="8" t="str">
        <f>_xlfn.XLOOKUP(D24,'Cleaned Data'!D24:D121,'Cleaning Tasks'!Q24:Q121)</f>
        <v>Freelancing</v>
      </c>
      <c r="H24" s="48">
        <f>_xlfn.XLOOKUP(D24,'Cleaning Tasks'!D24:D121,'Cleaning Tasks'!H24:H121)</f>
        <v>52000</v>
      </c>
      <c r="I24" s="8" t="str">
        <f>_xlfn.XLOOKUP(D24,'Cleaning Tasks'!D24:D121,'Cleaning Tasks'!R24:R121)</f>
        <v>Shopping</v>
      </c>
      <c r="J24" s="8">
        <v>7600</v>
      </c>
      <c r="K24" s="8" t="s">
        <v>52</v>
      </c>
      <c r="L24" s="48">
        <v>9000</v>
      </c>
      <c r="M24" s="8">
        <f>_xlfn.XLOOKUP(D24,'Cleaning Tasks'!D24:D121,'Cleaning Tasks'!S24:S121)</f>
        <v>0</v>
      </c>
      <c r="N24" s="8">
        <v>715</v>
      </c>
      <c r="O24" s="8" t="s">
        <v>45</v>
      </c>
    </row>
    <row r="25" spans="1:15" ht="15" customHeight="1" x14ac:dyDescent="0.25">
      <c r="A25" s="8" t="s">
        <v>131</v>
      </c>
      <c r="B25" s="9">
        <v>45681</v>
      </c>
      <c r="C25" s="8" t="s">
        <v>98</v>
      </c>
      <c r="D25" s="8" t="s">
        <v>132</v>
      </c>
      <c r="E25" s="8">
        <v>40</v>
      </c>
      <c r="F25" s="8" t="str">
        <f>_xlfn.XLOOKUP(D25,'Cleaning Tasks'!D25:D122,'Cleaning Tasks'!P25:P122)</f>
        <v>Unknown</v>
      </c>
      <c r="G25" s="8" t="str">
        <f>_xlfn.XLOOKUP(D25,'Cleaned Data'!D25:D122,'Cleaning Tasks'!Q25:Q122)</f>
        <v>Unknown</v>
      </c>
      <c r="H25" s="48">
        <f>_xlfn.XLOOKUP(D25,'Cleaning Tasks'!D25:D122,'Cleaning Tasks'!H25:H122)</f>
        <v>125000</v>
      </c>
      <c r="I25" s="8" t="str">
        <f>_xlfn.XLOOKUP(D25,'Cleaning Tasks'!D25:D122,'Cleaning Tasks'!R25:R122)</f>
        <v>Investment</v>
      </c>
      <c r="J25" s="8">
        <v>28000</v>
      </c>
      <c r="K25" s="8" t="s">
        <v>65</v>
      </c>
      <c r="L25" s="48">
        <v>37000</v>
      </c>
      <c r="M25" s="8">
        <f>_xlfn.XLOOKUP(D25,'Cleaning Tasks'!D25:D122,'Cleaning Tasks'!S25:S122)</f>
        <v>12000</v>
      </c>
      <c r="N25" s="8">
        <v>798</v>
      </c>
      <c r="O25" s="8" t="s">
        <v>66</v>
      </c>
    </row>
    <row r="26" spans="1:15" ht="15" customHeight="1" x14ac:dyDescent="0.25">
      <c r="A26" s="8" t="s">
        <v>133</v>
      </c>
      <c r="B26" s="9">
        <v>45682</v>
      </c>
      <c r="C26" s="8" t="s">
        <v>102</v>
      </c>
      <c r="D26" s="8" t="s">
        <v>134</v>
      </c>
      <c r="E26" s="8">
        <v>31</v>
      </c>
      <c r="F26" s="8" t="str">
        <f>_xlfn.XLOOKUP(D26,'Cleaning Tasks'!D26:D123,'Cleaning Tasks'!P26:P123)</f>
        <v>Kolkata</v>
      </c>
      <c r="G26" s="8" t="str">
        <f>_xlfn.XLOOKUP(D26,'Cleaned Data'!D26:D123,'Cleaning Tasks'!Q26:Q123)</f>
        <v>Salary</v>
      </c>
      <c r="H26" s="48">
        <f>_xlfn.XLOOKUP(D26,'Cleaning Tasks'!D26:D123,'Cleaning Tasks'!H26:H123)</f>
        <v>74000</v>
      </c>
      <c r="I26" s="8" t="str">
        <f>_xlfn.XLOOKUP(D26,'Cleaning Tasks'!D26:D123,'Cleaning Tasks'!R26:R123)</f>
        <v>Education</v>
      </c>
      <c r="J26" s="8">
        <v>5300</v>
      </c>
      <c r="K26" s="8" t="s">
        <v>44</v>
      </c>
      <c r="L26" s="48">
        <v>15000</v>
      </c>
      <c r="M26" s="8">
        <f>_xlfn.XLOOKUP(D26,'Cleaning Tasks'!D26:D123,'Cleaning Tasks'!S26:S123)</f>
        <v>5000</v>
      </c>
      <c r="N26" s="8">
        <v>750</v>
      </c>
      <c r="O26" s="8" t="s">
        <v>53</v>
      </c>
    </row>
    <row r="27" spans="1:15" ht="15" customHeight="1" x14ac:dyDescent="0.25">
      <c r="A27" s="8" t="s">
        <v>135</v>
      </c>
      <c r="B27" s="9">
        <v>45683</v>
      </c>
      <c r="C27" s="8" t="s">
        <v>39</v>
      </c>
      <c r="D27" s="8" t="s">
        <v>136</v>
      </c>
      <c r="E27" s="8">
        <v>28</v>
      </c>
      <c r="F27" s="8" t="str">
        <f>_xlfn.XLOOKUP(D27,'Cleaning Tasks'!D27:D124,'Cleaning Tasks'!P27:P124)</f>
        <v>Delhi</v>
      </c>
      <c r="G27" s="8" t="str">
        <f>_xlfn.XLOOKUP(D27,'Cleaned Data'!D27:D124,'Cleaning Tasks'!Q27:Q124)</f>
        <v>Salary</v>
      </c>
      <c r="H27" s="48">
        <f>_xlfn.XLOOKUP(D27,'Cleaning Tasks'!D27:D124,'Cleaning Tasks'!H27:H124)</f>
        <v>63000</v>
      </c>
      <c r="I27" s="8" t="str">
        <f>_xlfn.XLOOKUP(D27,'Cleaning Tasks'!D27:D124,'Cleaning Tasks'!R27:R124)</f>
        <v>Unknown</v>
      </c>
      <c r="J27" s="8">
        <v>8600</v>
      </c>
      <c r="K27" s="8" t="s">
        <v>52</v>
      </c>
      <c r="L27" s="48">
        <v>11000</v>
      </c>
      <c r="M27" s="8">
        <f>_xlfn.XLOOKUP(D27,'Cleaning Tasks'!D27:D124,'Cleaning Tasks'!S27:S124)</f>
        <v>3500</v>
      </c>
      <c r="N27" s="8">
        <v>721</v>
      </c>
      <c r="O27" s="8" t="s">
        <v>45</v>
      </c>
    </row>
    <row r="28" spans="1:15" ht="15" customHeight="1" x14ac:dyDescent="0.25">
      <c r="A28" s="8" t="s">
        <v>137</v>
      </c>
      <c r="B28" s="9">
        <v>45733</v>
      </c>
      <c r="C28" s="8" t="s">
        <v>47</v>
      </c>
      <c r="D28" s="8" t="s">
        <v>138</v>
      </c>
      <c r="E28" s="8">
        <v>36</v>
      </c>
      <c r="F28" s="8" t="str">
        <f>_xlfn.XLOOKUP(D28,'Cleaning Tasks'!D28:D125,'Cleaning Tasks'!P28:P125)</f>
        <v>Kolkata</v>
      </c>
      <c r="G28" s="8" t="str">
        <f>_xlfn.XLOOKUP(D28,'Cleaned Data'!D28:D125,'Cleaning Tasks'!Q28:Q125)</f>
        <v>Salary</v>
      </c>
      <c r="H28" s="48">
        <f>_xlfn.XLOOKUP(D28,'Cleaning Tasks'!D28:D125,'Cleaning Tasks'!H28:H125)</f>
        <v>81000</v>
      </c>
      <c r="I28" s="8" t="str">
        <f>_xlfn.XLOOKUP(D28,'Cleaning Tasks'!D28:D125,'Cleaning Tasks'!R28:R125)</f>
        <v>Travel</v>
      </c>
      <c r="J28" s="8">
        <v>9400</v>
      </c>
      <c r="K28" s="8" t="s">
        <v>44</v>
      </c>
      <c r="L28" s="48">
        <v>17000</v>
      </c>
      <c r="M28" s="8">
        <f>_xlfn.XLOOKUP(D28,'Cleaning Tasks'!D28:D125,'Cleaning Tasks'!S28:S125)</f>
        <v>8500</v>
      </c>
      <c r="N28" s="8">
        <v>743</v>
      </c>
      <c r="O28" s="8" t="s">
        <v>53</v>
      </c>
    </row>
    <row r="29" spans="1:15" ht="15" customHeight="1" x14ac:dyDescent="0.25">
      <c r="A29" s="8" t="s">
        <v>140</v>
      </c>
      <c r="B29" s="9">
        <v>45734</v>
      </c>
      <c r="C29" s="8" t="s">
        <v>55</v>
      </c>
      <c r="D29" s="8" t="s">
        <v>141</v>
      </c>
      <c r="E29" s="8">
        <v>27</v>
      </c>
      <c r="F29" s="8" t="str">
        <f>_xlfn.XLOOKUP(D29,'Cleaning Tasks'!D29:D126,'Cleaning Tasks'!P29:P126)</f>
        <v>Pune</v>
      </c>
      <c r="G29" s="8" t="str">
        <f>_xlfn.XLOOKUP(D29,'Cleaned Data'!D29:D126,'Cleaning Tasks'!Q29:Q126)</f>
        <v>Freelancing</v>
      </c>
      <c r="H29" s="48">
        <f>_xlfn.XLOOKUP(D29,'Cleaning Tasks'!D29:D126,'Cleaning Tasks'!H29:H126)</f>
        <v>55000</v>
      </c>
      <c r="I29" s="8" t="str">
        <f>_xlfn.XLOOKUP(D29,'Cleaning Tasks'!D29:D126,'Cleaning Tasks'!R29:R126)</f>
        <v>Food</v>
      </c>
      <c r="J29" s="8">
        <v>5200</v>
      </c>
      <c r="K29" s="8" t="s">
        <v>52</v>
      </c>
      <c r="L29" s="48">
        <v>8000</v>
      </c>
      <c r="M29" s="8">
        <f>_xlfn.XLOOKUP(D29,'Cleaning Tasks'!D29:D126,'Cleaning Tasks'!S29:S126)</f>
        <v>0</v>
      </c>
      <c r="N29" s="8">
        <v>701</v>
      </c>
      <c r="O29" s="8" t="s">
        <v>45</v>
      </c>
    </row>
    <row r="30" spans="1:15" ht="15" customHeight="1" x14ac:dyDescent="0.25">
      <c r="A30" s="8" t="s">
        <v>142</v>
      </c>
      <c r="B30" s="9">
        <v>45735</v>
      </c>
      <c r="C30" s="8" t="s">
        <v>60</v>
      </c>
      <c r="D30" s="8" t="s">
        <v>143</v>
      </c>
      <c r="E30" s="8">
        <v>43</v>
      </c>
      <c r="F30" s="8" t="str">
        <f>_xlfn.XLOOKUP(D30,'Cleaning Tasks'!D30:D127,'Cleaning Tasks'!P30:P127)</f>
        <v>Delhi</v>
      </c>
      <c r="G30" s="8" t="str">
        <f>_xlfn.XLOOKUP(D30,'Cleaned Data'!D30:D127,'Cleaning Tasks'!Q30:Q127)</f>
        <v>Business</v>
      </c>
      <c r="H30" s="48">
        <f>_xlfn.XLOOKUP(D30,'Cleaning Tasks'!D30:D127,'Cleaning Tasks'!H30:H127)</f>
        <v>149000</v>
      </c>
      <c r="I30" s="8" t="str">
        <f>_xlfn.XLOOKUP(D30,'Cleaning Tasks'!D30:D127,'Cleaning Tasks'!R30:R127)</f>
        <v>Investment</v>
      </c>
      <c r="J30" s="8">
        <v>41000</v>
      </c>
      <c r="K30" s="8" t="s">
        <v>82</v>
      </c>
      <c r="L30" s="48">
        <v>50000</v>
      </c>
      <c r="M30" s="8">
        <f>_xlfn.XLOOKUP(D30,'Cleaning Tasks'!D30:D127,'Cleaning Tasks'!S30:S127)</f>
        <v>23000</v>
      </c>
      <c r="N30" s="8">
        <v>815</v>
      </c>
      <c r="O30" s="8" t="s">
        <v>66</v>
      </c>
    </row>
    <row r="31" spans="1:15" ht="15" customHeight="1" x14ac:dyDescent="0.25">
      <c r="A31" s="8" t="s">
        <v>144</v>
      </c>
      <c r="B31" s="9">
        <v>45736</v>
      </c>
      <c r="C31" s="8" t="s">
        <v>68</v>
      </c>
      <c r="D31" s="8" t="s">
        <v>145</v>
      </c>
      <c r="E31" s="8">
        <v>30</v>
      </c>
      <c r="F31" s="8" t="str">
        <f>_xlfn.XLOOKUP(D31,'Cleaning Tasks'!D31:D128,'Cleaning Tasks'!P31:P128)</f>
        <v>Kolkata</v>
      </c>
      <c r="G31" s="8" t="str">
        <f>_xlfn.XLOOKUP(D31,'Cleaned Data'!D31:D128,'Cleaning Tasks'!Q31:Q128)</f>
        <v>Salary</v>
      </c>
      <c r="H31" s="48">
        <f>_xlfn.XLOOKUP(D31,'Cleaning Tasks'!D31:D128,'Cleaning Tasks'!H31:H128)</f>
        <v>72000</v>
      </c>
      <c r="I31" s="8" t="str">
        <f>_xlfn.XLOOKUP(D31,'Cleaning Tasks'!D31:D128,'Cleaning Tasks'!R31:R128)</f>
        <v>Utilities</v>
      </c>
      <c r="J31" s="8">
        <v>6300</v>
      </c>
      <c r="K31" s="8" t="s">
        <v>44</v>
      </c>
      <c r="L31" s="48">
        <v>14500</v>
      </c>
      <c r="M31" s="8">
        <f>_xlfn.XLOOKUP(D31,'Cleaning Tasks'!D31:D128,'Cleaning Tasks'!S31:S128)</f>
        <v>3500</v>
      </c>
      <c r="N31" s="8">
        <v>735</v>
      </c>
      <c r="O31" s="8" t="s">
        <v>53</v>
      </c>
    </row>
    <row r="32" spans="1:15" ht="15" customHeight="1" x14ac:dyDescent="0.25">
      <c r="A32" s="8" t="s">
        <v>146</v>
      </c>
      <c r="B32" s="9">
        <v>45737</v>
      </c>
      <c r="C32" s="8" t="s">
        <v>74</v>
      </c>
      <c r="D32" s="8" t="s">
        <v>147</v>
      </c>
      <c r="E32" s="8">
        <v>28</v>
      </c>
      <c r="F32" s="8" t="str">
        <f>_xlfn.XLOOKUP(D32,'Cleaning Tasks'!D32:D129,'Cleaning Tasks'!P32:P129)</f>
        <v>Delhi</v>
      </c>
      <c r="G32" s="8" t="str">
        <f>_xlfn.XLOOKUP(D32,'Cleaned Data'!D32:D129,'Cleaning Tasks'!Q32:Q129)</f>
        <v>Salary</v>
      </c>
      <c r="H32" s="48">
        <f>_xlfn.XLOOKUP(D32,'Cleaning Tasks'!D32:D129,'Cleaning Tasks'!H32:H129)</f>
        <v>65000</v>
      </c>
      <c r="I32" s="8" t="str">
        <f>_xlfn.XLOOKUP(D32,'Cleaning Tasks'!D32:D129,'Cleaning Tasks'!R32:R129)</f>
        <v>Transport</v>
      </c>
      <c r="J32" s="8">
        <v>4800</v>
      </c>
      <c r="K32" s="8" t="s">
        <v>57</v>
      </c>
      <c r="L32" s="48">
        <v>10000</v>
      </c>
      <c r="M32" s="8">
        <f>_xlfn.XLOOKUP(D32,'Cleaning Tasks'!D32:D129,'Cleaning Tasks'!S32:S129)</f>
        <v>4000</v>
      </c>
      <c r="N32" s="8">
        <v>712</v>
      </c>
      <c r="O32" s="8" t="s">
        <v>45</v>
      </c>
    </row>
    <row r="33" spans="1:15" ht="15" customHeight="1" x14ac:dyDescent="0.25">
      <c r="A33" s="8" t="s">
        <v>148</v>
      </c>
      <c r="B33" s="9">
        <v>45738</v>
      </c>
      <c r="C33" s="8" t="s">
        <v>79</v>
      </c>
      <c r="D33" s="8" t="s">
        <v>149</v>
      </c>
      <c r="E33" s="8">
        <v>25</v>
      </c>
      <c r="F33" s="8" t="str">
        <f>_xlfn.XLOOKUP(D33,'Cleaning Tasks'!D33:D130,'Cleaning Tasks'!P33:P130)</f>
        <v>Kolkata</v>
      </c>
      <c r="G33" s="8" t="str">
        <f>_xlfn.XLOOKUP(D33,'Cleaned Data'!D33:D130,'Cleaning Tasks'!Q33:Q130)</f>
        <v>Freelancing</v>
      </c>
      <c r="H33" s="48">
        <f>_xlfn.XLOOKUP(D33,'Cleaning Tasks'!D33:D130,'Cleaning Tasks'!H33:H130)</f>
        <v>50000</v>
      </c>
      <c r="I33" s="8" t="str">
        <f>_xlfn.XLOOKUP(D33,'Cleaning Tasks'!D33:D130,'Cleaning Tasks'!R33:R130)</f>
        <v>Shopping</v>
      </c>
      <c r="J33" s="8">
        <v>8100</v>
      </c>
      <c r="K33" s="8" t="s">
        <v>52</v>
      </c>
      <c r="L33" s="48">
        <v>6000</v>
      </c>
      <c r="M33" s="8">
        <f>_xlfn.XLOOKUP(D33,'Cleaning Tasks'!D33:D130,'Cleaning Tasks'!S33:S130)</f>
        <v>0</v>
      </c>
      <c r="N33" s="8">
        <v>689</v>
      </c>
      <c r="O33" s="8" t="s">
        <v>58</v>
      </c>
    </row>
    <row r="34" spans="1:15" ht="15" customHeight="1" x14ac:dyDescent="0.25">
      <c r="A34" s="8" t="s">
        <v>150</v>
      </c>
      <c r="B34" s="9">
        <v>45739</v>
      </c>
      <c r="C34" s="8" t="s">
        <v>84</v>
      </c>
      <c r="D34" s="8" t="s">
        <v>151</v>
      </c>
      <c r="E34" s="8">
        <v>40</v>
      </c>
      <c r="F34" s="8" t="str">
        <f>_xlfn.XLOOKUP(D34,'Cleaning Tasks'!D34:D131,'Cleaning Tasks'!P34:P131)</f>
        <v>Mumbai</v>
      </c>
      <c r="G34" s="8" t="str">
        <f>_xlfn.XLOOKUP(D34,'Cleaned Data'!D34:D131,'Cleaning Tasks'!Q34:Q131)</f>
        <v>Unknown</v>
      </c>
      <c r="H34" s="48">
        <f>_xlfn.XLOOKUP(D34,'Cleaning Tasks'!D34:D131,'Cleaning Tasks'!H34:H131)</f>
        <v>137000</v>
      </c>
      <c r="I34" s="8" t="str">
        <f>_xlfn.XLOOKUP(D34,'Cleaning Tasks'!D34:D131,'Cleaning Tasks'!R34:R131)</f>
        <v>Rent</v>
      </c>
      <c r="J34" s="8">
        <v>33000</v>
      </c>
      <c r="K34" s="8" t="s">
        <v>293</v>
      </c>
      <c r="L34" s="48">
        <v>41000</v>
      </c>
      <c r="M34" s="8">
        <f>_xlfn.XLOOKUP(D34,'Cleaning Tasks'!D34:D131,'Cleaning Tasks'!S34:S131)</f>
        <v>17000</v>
      </c>
      <c r="N34" s="8">
        <v>799</v>
      </c>
      <c r="O34" s="8" t="s">
        <v>66</v>
      </c>
    </row>
    <row r="35" spans="1:15" ht="15" customHeight="1" x14ac:dyDescent="0.25">
      <c r="A35" s="8" t="s">
        <v>152</v>
      </c>
      <c r="B35" s="9">
        <v>45740</v>
      </c>
      <c r="C35" s="8" t="s">
        <v>89</v>
      </c>
      <c r="D35" s="8" t="s">
        <v>153</v>
      </c>
      <c r="E35" s="8">
        <v>31</v>
      </c>
      <c r="F35" s="8" t="str">
        <f>_xlfn.XLOOKUP(D35,'Cleaning Tasks'!D35:D132,'Cleaning Tasks'!P35:P132)</f>
        <v>Kolkata</v>
      </c>
      <c r="G35" s="8" t="str">
        <f>_xlfn.XLOOKUP(D35,'Cleaned Data'!D35:D132,'Cleaning Tasks'!Q35:Q132)</f>
        <v>Salary</v>
      </c>
      <c r="H35" s="48">
        <f>_xlfn.XLOOKUP(D35,'Cleaning Tasks'!D35:D132,'Cleaning Tasks'!H35:H132)</f>
        <v>70000</v>
      </c>
      <c r="I35" s="8" t="str">
        <f>_xlfn.XLOOKUP(D35,'Cleaning Tasks'!D35:D132,'Cleaning Tasks'!R35:R132)</f>
        <v>Healthcare</v>
      </c>
      <c r="J35" s="8">
        <v>4600</v>
      </c>
      <c r="K35" s="8" t="s">
        <v>44</v>
      </c>
      <c r="L35" s="48">
        <v>13000</v>
      </c>
      <c r="M35" s="8">
        <f>_xlfn.XLOOKUP(D35,'Cleaning Tasks'!D35:D132,'Cleaning Tasks'!S35:S132)</f>
        <v>3000</v>
      </c>
      <c r="N35" s="8">
        <v>732</v>
      </c>
      <c r="O35" s="8" t="s">
        <v>53</v>
      </c>
    </row>
    <row r="36" spans="1:15" ht="15" customHeight="1" x14ac:dyDescent="0.25">
      <c r="A36" s="8" t="s">
        <v>154</v>
      </c>
      <c r="B36" s="9">
        <v>45741</v>
      </c>
      <c r="C36" s="8" t="s">
        <v>93</v>
      </c>
      <c r="D36" s="8" t="s">
        <v>155</v>
      </c>
      <c r="E36" s="8">
        <v>35</v>
      </c>
      <c r="F36" s="8" t="str">
        <f>_xlfn.XLOOKUP(D36,'Cleaning Tasks'!D36:D133,'Cleaning Tasks'!P36:P133)</f>
        <v>Delhi</v>
      </c>
      <c r="G36" s="8" t="str">
        <f>_xlfn.XLOOKUP(D36,'Cleaned Data'!D36:D133,'Cleaning Tasks'!Q36:Q133)</f>
        <v>Salary</v>
      </c>
      <c r="H36" s="48">
        <f>_xlfn.XLOOKUP(D36,'Cleaning Tasks'!D36:D133,'Cleaning Tasks'!H36:H133)</f>
        <v>83000</v>
      </c>
      <c r="I36" s="8" t="str">
        <f>_xlfn.XLOOKUP(D36,'Cleaning Tasks'!D36:D133,'Cleaning Tasks'!R36:R133)</f>
        <v>Travel</v>
      </c>
      <c r="J36" s="8">
        <v>10200</v>
      </c>
      <c r="K36" s="8" t="s">
        <v>52</v>
      </c>
      <c r="L36" s="48">
        <v>18000</v>
      </c>
      <c r="M36" s="8">
        <f>_xlfn.XLOOKUP(D36,'Cleaning Tasks'!D36:D133,'Cleaning Tasks'!S36:S133)</f>
        <v>9500</v>
      </c>
      <c r="N36" s="8">
        <v>747</v>
      </c>
      <c r="O36" s="8" t="s">
        <v>53</v>
      </c>
    </row>
    <row r="37" spans="1:15" ht="15" customHeight="1" x14ac:dyDescent="0.25">
      <c r="A37" s="8" t="s">
        <v>156</v>
      </c>
      <c r="B37" s="9">
        <v>45742</v>
      </c>
      <c r="C37" s="8" t="s">
        <v>98</v>
      </c>
      <c r="D37" s="8" t="s">
        <v>157</v>
      </c>
      <c r="E37" s="8">
        <v>26</v>
      </c>
      <c r="F37" s="8" t="str">
        <f>_xlfn.XLOOKUP(D37,'Cleaning Tasks'!D37:D134,'Cleaning Tasks'!P37:P134)</f>
        <v>Pune</v>
      </c>
      <c r="G37" s="8" t="str">
        <f>_xlfn.XLOOKUP(D37,'Cleaned Data'!D37:D134,'Cleaning Tasks'!Q37:Q134)</f>
        <v>Freelancing</v>
      </c>
      <c r="H37" s="48">
        <f>_xlfn.XLOOKUP(D37,'Cleaning Tasks'!D37:D134,'Cleaning Tasks'!H37:H134)</f>
        <v>53000</v>
      </c>
      <c r="I37" s="8" t="str">
        <f>_xlfn.XLOOKUP(D37,'Cleaning Tasks'!D37:D134,'Cleaning Tasks'!R37:R134)</f>
        <v>Entertainment</v>
      </c>
      <c r="J37" s="8">
        <v>4100</v>
      </c>
      <c r="K37" s="8" t="s">
        <v>57</v>
      </c>
      <c r="L37" s="48">
        <v>7000</v>
      </c>
      <c r="M37" s="8">
        <f>_xlfn.XLOOKUP(D37,'Cleaning Tasks'!D37:D134,'Cleaning Tasks'!S37:S134)</f>
        <v>0</v>
      </c>
      <c r="N37" s="8">
        <v>694</v>
      </c>
      <c r="O37" s="8" t="s">
        <v>58</v>
      </c>
    </row>
    <row r="38" spans="1:15" ht="15" customHeight="1" x14ac:dyDescent="0.25">
      <c r="A38" s="8" t="s">
        <v>158</v>
      </c>
      <c r="B38" s="9">
        <v>45743</v>
      </c>
      <c r="C38" s="8" t="s">
        <v>102</v>
      </c>
      <c r="D38" s="8" t="s">
        <v>159</v>
      </c>
      <c r="E38" s="8">
        <v>42</v>
      </c>
      <c r="F38" s="8" t="str">
        <f>_xlfn.XLOOKUP(D38,'Cleaning Tasks'!D38:D135,'Cleaning Tasks'!P38:P135)</f>
        <v>Ahmedabad</v>
      </c>
      <c r="G38" s="8" t="str">
        <f>_xlfn.XLOOKUP(D38,'Cleaned Data'!D38:D135,'Cleaning Tasks'!Q38:Q135)</f>
        <v>Business</v>
      </c>
      <c r="H38" s="48">
        <f>_xlfn.XLOOKUP(D38,'Cleaning Tasks'!D38:D135,'Cleaning Tasks'!H38:H135)</f>
        <v>144000</v>
      </c>
      <c r="I38" s="8" t="str">
        <f>_xlfn.XLOOKUP(D38,'Cleaning Tasks'!D38:D135,'Cleaning Tasks'!R38:R135)</f>
        <v>Investment</v>
      </c>
      <c r="J38" s="8">
        <v>37000</v>
      </c>
      <c r="K38" s="8" t="s">
        <v>82</v>
      </c>
      <c r="L38" s="48">
        <v>46000</v>
      </c>
      <c r="M38" s="8">
        <f>_xlfn.XLOOKUP(D38,'Cleaning Tasks'!D38:D135,'Cleaning Tasks'!S38:S135)</f>
        <v>21000</v>
      </c>
      <c r="N38" s="8">
        <v>810</v>
      </c>
      <c r="O38" s="8" t="s">
        <v>66</v>
      </c>
    </row>
    <row r="39" spans="1:15" ht="15" customHeight="1" x14ac:dyDescent="0.25">
      <c r="A39" s="8" t="s">
        <v>160</v>
      </c>
      <c r="B39" s="9">
        <v>45744</v>
      </c>
      <c r="C39" s="8" t="s">
        <v>39</v>
      </c>
      <c r="D39" s="8" t="s">
        <v>161</v>
      </c>
      <c r="E39" s="8">
        <v>29</v>
      </c>
      <c r="F39" s="8" t="str">
        <f>_xlfn.XLOOKUP(D39,'Cleaning Tasks'!D39:D136,'Cleaning Tasks'!P39:P136)</f>
        <v>Kolkata</v>
      </c>
      <c r="G39" s="8" t="str">
        <f>_xlfn.XLOOKUP(D39,'Cleaned Data'!D39:D136,'Cleaning Tasks'!Q39:Q136)</f>
        <v>Salary</v>
      </c>
      <c r="H39" s="48">
        <f>_xlfn.XLOOKUP(D39,'Cleaning Tasks'!D39:D136,'Cleaning Tasks'!H39:H136)</f>
        <v>69000</v>
      </c>
      <c r="I39" s="8" t="str">
        <f>_xlfn.XLOOKUP(D39,'Cleaning Tasks'!D39:D136,'Cleaning Tasks'!R39:R136)</f>
        <v>Groceries</v>
      </c>
      <c r="J39" s="8">
        <v>6200</v>
      </c>
      <c r="K39" s="8" t="s">
        <v>44</v>
      </c>
      <c r="L39" s="48">
        <v>12500</v>
      </c>
      <c r="M39" s="8">
        <f>_xlfn.XLOOKUP(D39,'Cleaning Tasks'!D39:D136,'Cleaning Tasks'!S39:S136)</f>
        <v>3000</v>
      </c>
      <c r="N39" s="8">
        <v>728</v>
      </c>
      <c r="O39" s="8" t="s">
        <v>53</v>
      </c>
    </row>
    <row r="40" spans="1:15" ht="15" customHeight="1" x14ac:dyDescent="0.25">
      <c r="A40" s="8" t="s">
        <v>162</v>
      </c>
      <c r="B40" s="9">
        <v>45745</v>
      </c>
      <c r="C40" s="8" t="s">
        <v>47</v>
      </c>
      <c r="D40" s="8" t="s">
        <v>163</v>
      </c>
      <c r="E40" s="8">
        <v>33</v>
      </c>
      <c r="F40" s="8" t="str">
        <f>_xlfn.XLOOKUP(D40,'Cleaning Tasks'!D40:D137,'Cleaning Tasks'!P40:P137)</f>
        <v>Unknown</v>
      </c>
      <c r="G40" s="8" t="str">
        <f>_xlfn.XLOOKUP(D40,'Cleaned Data'!D40:D137,'Cleaning Tasks'!Q40:Q137)</f>
        <v>Salary</v>
      </c>
      <c r="H40" s="48">
        <f>_xlfn.XLOOKUP(D40,'Cleaning Tasks'!D40:D137,'Cleaning Tasks'!H40:H137)</f>
        <v>78000</v>
      </c>
      <c r="I40" s="8" t="str">
        <f>_xlfn.XLOOKUP(D40,'Cleaning Tasks'!D40:D137,'Cleaning Tasks'!R40:R137)</f>
        <v>Rent</v>
      </c>
      <c r="J40" s="8">
        <v>22000</v>
      </c>
      <c r="K40" s="8" t="s">
        <v>52</v>
      </c>
      <c r="L40" s="48">
        <v>15000</v>
      </c>
      <c r="M40" s="8">
        <f>_xlfn.XLOOKUP(D40,'Cleaning Tasks'!D40:D137,'Cleaning Tasks'!S40:S137)</f>
        <v>7000</v>
      </c>
      <c r="N40" s="8">
        <v>739</v>
      </c>
      <c r="O40" s="8" t="s">
        <v>53</v>
      </c>
    </row>
    <row r="41" spans="1:15" ht="15" customHeight="1" x14ac:dyDescent="0.25">
      <c r="A41" s="8" t="s">
        <v>164</v>
      </c>
      <c r="B41" s="9">
        <v>45746</v>
      </c>
      <c r="C41" s="8" t="s">
        <v>55</v>
      </c>
      <c r="D41" s="8" t="s">
        <v>165</v>
      </c>
      <c r="E41" s="8">
        <v>24</v>
      </c>
      <c r="F41" s="8" t="str">
        <f>_xlfn.XLOOKUP(D41,'Cleaning Tasks'!D41:D138,'Cleaning Tasks'!P41:P138)</f>
        <v>Kolkata</v>
      </c>
      <c r="G41" s="8" t="str">
        <f>_xlfn.XLOOKUP(D41,'Cleaned Data'!D41:D138,'Cleaning Tasks'!Q41:Q138)</f>
        <v>Internship</v>
      </c>
      <c r="H41" s="48">
        <f>_xlfn.XLOOKUP(D41,'Cleaning Tasks'!D41:D138,'Cleaning Tasks'!H41:H138)</f>
        <v>30000</v>
      </c>
      <c r="I41" s="8" t="str">
        <f>_xlfn.XLOOKUP(D41,'Cleaning Tasks'!D41:D138,'Cleaning Tasks'!R41:R138)</f>
        <v>Food</v>
      </c>
      <c r="J41" s="8">
        <v>3500</v>
      </c>
      <c r="K41" s="8" t="s">
        <v>57</v>
      </c>
      <c r="L41" s="48">
        <v>4000</v>
      </c>
      <c r="M41" s="8">
        <f>_xlfn.XLOOKUP(D41,'Cleaning Tasks'!D41:D138,'Cleaning Tasks'!S41:S138)</f>
        <v>0</v>
      </c>
      <c r="N41" s="8">
        <v>680</v>
      </c>
      <c r="O41" s="8" t="s">
        <v>58</v>
      </c>
    </row>
    <row r="42" spans="1:15" ht="15" customHeight="1" x14ac:dyDescent="0.25">
      <c r="A42" s="8" t="s">
        <v>166</v>
      </c>
      <c r="B42" s="9">
        <v>45747</v>
      </c>
      <c r="C42" s="8" t="s">
        <v>60</v>
      </c>
      <c r="D42" s="8" t="s">
        <v>167</v>
      </c>
      <c r="E42" s="8">
        <v>45</v>
      </c>
      <c r="F42" s="8" t="str">
        <f>_xlfn.XLOOKUP(D42,'Cleaning Tasks'!D42:D139,'Cleaning Tasks'!P42:P139)</f>
        <v>Bangalore</v>
      </c>
      <c r="G42" s="8" t="str">
        <f>_xlfn.XLOOKUP(D42,'Cleaned Data'!D42:D139,'Cleaning Tasks'!Q42:Q139)</f>
        <v>Business</v>
      </c>
      <c r="H42" s="48">
        <f>_xlfn.XLOOKUP(D42,'Cleaning Tasks'!D42:D139,'Cleaning Tasks'!H42:H139)</f>
        <v>158000</v>
      </c>
      <c r="I42" s="8" t="str">
        <f>_xlfn.XLOOKUP(D42,'Cleaning Tasks'!D42:D139,'Cleaning Tasks'!R42:R139)</f>
        <v>Healthcare</v>
      </c>
      <c r="J42" s="8">
        <v>9100</v>
      </c>
      <c r="K42" s="8" t="s">
        <v>65</v>
      </c>
      <c r="L42" s="48">
        <v>54000</v>
      </c>
      <c r="M42" s="8">
        <f>_xlfn.XLOOKUP(D42,'Cleaning Tasks'!D42:D139,'Cleaning Tasks'!S42:S139)</f>
        <v>8000</v>
      </c>
      <c r="N42" s="8">
        <v>822</v>
      </c>
      <c r="O42" s="8" t="s">
        <v>66</v>
      </c>
    </row>
    <row r="43" spans="1:15" ht="15" customHeight="1" x14ac:dyDescent="0.25">
      <c r="A43" s="8" t="s">
        <v>168</v>
      </c>
      <c r="B43" s="9">
        <v>45748</v>
      </c>
      <c r="C43" s="8" t="s">
        <v>68</v>
      </c>
      <c r="D43" s="8" t="s">
        <v>169</v>
      </c>
      <c r="E43" s="8">
        <v>30</v>
      </c>
      <c r="F43" s="8" t="str">
        <f>_xlfn.XLOOKUP(D43,'Cleaning Tasks'!D43:D140,'Cleaning Tasks'!P43:P140)</f>
        <v>Kolkata</v>
      </c>
      <c r="G43" s="8" t="str">
        <f>_xlfn.XLOOKUP(D43,'Cleaned Data'!D43:D140,'Cleaning Tasks'!Q43:Q140)</f>
        <v>Unknown</v>
      </c>
      <c r="H43" s="48">
        <f>_xlfn.XLOOKUP(D43,'Cleaning Tasks'!D43:D140,'Cleaning Tasks'!H43:H140)</f>
        <v>73000</v>
      </c>
      <c r="I43" s="8" t="str">
        <f>_xlfn.XLOOKUP(D43,'Cleaning Tasks'!D43:D140,'Cleaning Tasks'!R43:R140)</f>
        <v>Shopping</v>
      </c>
      <c r="J43" s="8">
        <v>7900</v>
      </c>
      <c r="K43" s="8" t="s">
        <v>293</v>
      </c>
      <c r="L43" s="48">
        <v>13500</v>
      </c>
      <c r="M43" s="8">
        <f>_xlfn.XLOOKUP(D43,'Cleaning Tasks'!D43:D140,'Cleaning Tasks'!S43:S140)</f>
        <v>4000</v>
      </c>
      <c r="N43" s="8">
        <v>736</v>
      </c>
      <c r="O43" s="8" t="s">
        <v>53</v>
      </c>
    </row>
    <row r="44" spans="1:15" ht="15" customHeight="1" x14ac:dyDescent="0.25">
      <c r="A44" s="8" t="s">
        <v>170</v>
      </c>
      <c r="B44" s="9">
        <v>45749</v>
      </c>
      <c r="C44" s="8" t="s">
        <v>74</v>
      </c>
      <c r="D44" s="8" t="s">
        <v>171</v>
      </c>
      <c r="E44" s="8">
        <v>36</v>
      </c>
      <c r="F44" s="8" t="str">
        <f>_xlfn.XLOOKUP(D44,'Cleaning Tasks'!D44:D141,'Cleaning Tasks'!P44:P141)</f>
        <v>Mumbai</v>
      </c>
      <c r="G44" s="8" t="str">
        <f>_xlfn.XLOOKUP(D44,'Cleaned Data'!D44:D141,'Cleaning Tasks'!Q44:Q141)</f>
        <v>Salary</v>
      </c>
      <c r="H44" s="48">
        <f>_xlfn.XLOOKUP(D44,'Cleaning Tasks'!D44:D141,'Cleaning Tasks'!H44:H141)</f>
        <v>86000</v>
      </c>
      <c r="I44" s="8" t="str">
        <f>_xlfn.XLOOKUP(D44,'Cleaning Tasks'!D44:D141,'Cleaning Tasks'!R44:R141)</f>
        <v>Unknown</v>
      </c>
      <c r="J44" s="8">
        <v>9700</v>
      </c>
      <c r="K44" s="8" t="s">
        <v>52</v>
      </c>
      <c r="L44" s="48">
        <v>19000</v>
      </c>
      <c r="M44" s="8">
        <f>_xlfn.XLOOKUP(D44,'Cleaning Tasks'!D44:D141,'Cleaning Tasks'!S44:S141)</f>
        <v>10000</v>
      </c>
      <c r="N44" s="8">
        <v>748</v>
      </c>
      <c r="O44" s="8" t="s">
        <v>53</v>
      </c>
    </row>
    <row r="45" spans="1:15" ht="15" customHeight="1" x14ac:dyDescent="0.25">
      <c r="A45" s="8" t="s">
        <v>172</v>
      </c>
      <c r="B45" s="9">
        <v>45750</v>
      </c>
      <c r="C45" s="8" t="s">
        <v>79</v>
      </c>
      <c r="D45" s="8" t="s">
        <v>173</v>
      </c>
      <c r="E45" s="8">
        <v>27</v>
      </c>
      <c r="F45" s="8" t="str">
        <f>_xlfn.XLOOKUP(D45,'Cleaning Tasks'!D45:D142,'Cleaning Tasks'!P45:P142)</f>
        <v>Kolkata</v>
      </c>
      <c r="G45" s="8" t="str">
        <f>_xlfn.XLOOKUP(D45,'Cleaned Data'!D45:D142,'Cleaning Tasks'!Q45:Q142)</f>
        <v>Freelancing</v>
      </c>
      <c r="H45" s="48">
        <f>_xlfn.XLOOKUP(D45,'Cleaning Tasks'!D45:D142,'Cleaning Tasks'!H45:H142)</f>
        <v>52000</v>
      </c>
      <c r="I45" s="8" t="str">
        <f>_xlfn.XLOOKUP(D45,'Cleaning Tasks'!D45:D142,'Cleaning Tasks'!R45:R142)</f>
        <v>Entertainment</v>
      </c>
      <c r="J45" s="8">
        <v>4500</v>
      </c>
      <c r="K45" s="8" t="s">
        <v>44</v>
      </c>
      <c r="L45" s="48">
        <v>6500</v>
      </c>
      <c r="M45" s="8">
        <f>_xlfn.XLOOKUP(D45,'Cleaning Tasks'!D45:D142,'Cleaning Tasks'!S45:S142)</f>
        <v>0</v>
      </c>
      <c r="N45" s="8">
        <v>696</v>
      </c>
      <c r="O45" s="8" t="s">
        <v>58</v>
      </c>
    </row>
    <row r="46" spans="1:15" ht="15" customHeight="1" x14ac:dyDescent="0.25">
      <c r="A46" s="8" t="s">
        <v>174</v>
      </c>
      <c r="B46" s="9">
        <v>45751</v>
      </c>
      <c r="C46" s="8" t="s">
        <v>84</v>
      </c>
      <c r="D46" s="8" t="s">
        <v>175</v>
      </c>
      <c r="E46" s="8">
        <v>41</v>
      </c>
      <c r="F46" s="8" t="str">
        <f>_xlfn.XLOOKUP(D46,'Cleaning Tasks'!D46:D143,'Cleaning Tasks'!P46:P143)</f>
        <v>Delhi</v>
      </c>
      <c r="G46" s="8" t="str">
        <f>_xlfn.XLOOKUP(D46,'Cleaned Data'!D46:D143,'Cleaning Tasks'!Q46:Q143)</f>
        <v>Business</v>
      </c>
      <c r="H46" s="48">
        <f>_xlfn.XLOOKUP(D46,'Cleaning Tasks'!D46:D143,'Cleaning Tasks'!H46:H143)</f>
        <v>139000</v>
      </c>
      <c r="I46" s="8" t="str">
        <f>_xlfn.XLOOKUP(D46,'Cleaning Tasks'!D46:D143,'Cleaning Tasks'!R46:R143)</f>
        <v>Investment</v>
      </c>
      <c r="J46" s="8">
        <v>35000</v>
      </c>
      <c r="K46" s="8" t="s">
        <v>82</v>
      </c>
      <c r="L46" s="48">
        <v>42000</v>
      </c>
      <c r="M46" s="8">
        <f>_xlfn.XLOOKUP(D46,'Cleaning Tasks'!D46:D143,'Cleaning Tasks'!S46:S143)</f>
        <v>18000</v>
      </c>
      <c r="N46" s="8">
        <v>801</v>
      </c>
      <c r="O46" s="8" t="s">
        <v>66</v>
      </c>
    </row>
    <row r="47" spans="1:15" ht="15" customHeight="1" x14ac:dyDescent="0.25">
      <c r="A47" s="8" t="s">
        <v>176</v>
      </c>
      <c r="B47" s="9">
        <v>45752</v>
      </c>
      <c r="C47" s="8" t="s">
        <v>89</v>
      </c>
      <c r="D47" s="8" t="s">
        <v>177</v>
      </c>
      <c r="E47" s="8">
        <v>31</v>
      </c>
      <c r="F47" s="8" t="str">
        <f>_xlfn.XLOOKUP(D47,'Cleaning Tasks'!D47:D144,'Cleaning Tasks'!P47:P144)</f>
        <v>Kolkata</v>
      </c>
      <c r="G47" s="8" t="str">
        <f>_xlfn.XLOOKUP(D47,'Cleaned Data'!D47:D144,'Cleaning Tasks'!Q47:Q144)</f>
        <v>Salary</v>
      </c>
      <c r="H47" s="48">
        <f>_xlfn.XLOOKUP(D47,'Cleaning Tasks'!D47:D144,'Cleaning Tasks'!H47:H144)</f>
        <v>71000</v>
      </c>
      <c r="I47" s="8" t="str">
        <f>_xlfn.XLOOKUP(D47,'Cleaning Tasks'!D47:D144,'Cleaning Tasks'!R47:R144)</f>
        <v>Utilities</v>
      </c>
      <c r="J47" s="8">
        <v>6100</v>
      </c>
      <c r="K47" s="8" t="s">
        <v>52</v>
      </c>
      <c r="L47" s="48">
        <v>14000</v>
      </c>
      <c r="M47" s="8">
        <f>_xlfn.XLOOKUP(D47,'Cleaning Tasks'!D47:D144,'Cleaning Tasks'!S47:S144)</f>
        <v>3500</v>
      </c>
      <c r="N47" s="8">
        <v>734</v>
      </c>
      <c r="O47" s="8" t="s">
        <v>53</v>
      </c>
    </row>
    <row r="48" spans="1:15" ht="15" customHeight="1" x14ac:dyDescent="0.25">
      <c r="A48" s="8" t="s">
        <v>178</v>
      </c>
      <c r="B48" s="9">
        <v>45753</v>
      </c>
      <c r="C48" s="8" t="s">
        <v>93</v>
      </c>
      <c r="D48" s="8" t="s">
        <v>179</v>
      </c>
      <c r="E48" s="8">
        <v>28</v>
      </c>
      <c r="F48" s="8" t="str">
        <f>_xlfn.XLOOKUP(D48,'Cleaning Tasks'!D48:D145,'Cleaning Tasks'!P48:P145)</f>
        <v>Unknown</v>
      </c>
      <c r="G48" s="8" t="str">
        <f>_xlfn.XLOOKUP(D48,'Cleaned Data'!D48:D145,'Cleaning Tasks'!Q48:Q145)</f>
        <v>Salary</v>
      </c>
      <c r="H48" s="48">
        <f>_xlfn.XLOOKUP(D48,'Cleaning Tasks'!D48:D145,'Cleaning Tasks'!H48:H145)</f>
        <v>67000</v>
      </c>
      <c r="I48" s="8" t="str">
        <f>_xlfn.XLOOKUP(D48,'Cleaning Tasks'!D48:D145,'Cleaning Tasks'!R48:R145)</f>
        <v>Rent</v>
      </c>
      <c r="J48" s="8">
        <v>19500</v>
      </c>
      <c r="K48" s="8" t="s">
        <v>44</v>
      </c>
      <c r="L48" s="48">
        <v>10500</v>
      </c>
      <c r="M48" s="8">
        <f>_xlfn.XLOOKUP(D48,'Cleaning Tasks'!D48:D145,'Cleaning Tasks'!S48:S145)</f>
        <v>4500</v>
      </c>
      <c r="N48" s="8">
        <v>718</v>
      </c>
      <c r="O48" s="8" t="s">
        <v>45</v>
      </c>
    </row>
    <row r="49" spans="1:15" ht="15" customHeight="1" x14ac:dyDescent="0.25">
      <c r="A49" s="8" t="s">
        <v>180</v>
      </c>
      <c r="B49" s="9">
        <v>45754</v>
      </c>
      <c r="C49" s="8" t="s">
        <v>98</v>
      </c>
      <c r="D49" s="8" t="s">
        <v>181</v>
      </c>
      <c r="E49" s="8">
        <v>25</v>
      </c>
      <c r="F49" s="8" t="str">
        <f>_xlfn.XLOOKUP(D49,'Cleaning Tasks'!D49:D146,'Cleaning Tasks'!P49:P146)</f>
        <v>Kolkata</v>
      </c>
      <c r="G49" s="8" t="str">
        <f>_xlfn.XLOOKUP(D49,'Cleaned Data'!D49:D146,'Cleaning Tasks'!Q49:Q146)</f>
        <v>Internship</v>
      </c>
      <c r="H49" s="48">
        <f>_xlfn.XLOOKUP(D49,'Cleaning Tasks'!D49:D146,'Cleaning Tasks'!H49:H146)</f>
        <v>31000</v>
      </c>
      <c r="I49" s="8" t="str">
        <f>_xlfn.XLOOKUP(D49,'Cleaning Tasks'!D49:D146,'Cleaning Tasks'!R49:R146)</f>
        <v>Education</v>
      </c>
      <c r="J49" s="8">
        <v>3900</v>
      </c>
      <c r="K49" s="8" t="s">
        <v>57</v>
      </c>
      <c r="L49" s="48">
        <v>3000</v>
      </c>
      <c r="M49" s="8">
        <f>_xlfn.XLOOKUP(D49,'Cleaning Tasks'!D49:D146,'Cleaning Tasks'!S49:S146)</f>
        <v>0</v>
      </c>
      <c r="N49" s="8">
        <v>677</v>
      </c>
      <c r="O49" s="8" t="s">
        <v>58</v>
      </c>
    </row>
    <row r="50" spans="1:15" ht="15" customHeight="1" x14ac:dyDescent="0.25">
      <c r="A50" s="8" t="s">
        <v>182</v>
      </c>
      <c r="B50" s="9">
        <v>45755</v>
      </c>
      <c r="C50" s="8" t="s">
        <v>102</v>
      </c>
      <c r="D50" s="8" t="s">
        <v>183</v>
      </c>
      <c r="E50" s="8">
        <v>43</v>
      </c>
      <c r="F50" s="8" t="str">
        <f>_xlfn.XLOOKUP(D50,'Cleaning Tasks'!D50:D147,'Cleaning Tasks'!P50:P147)</f>
        <v>Ahmedabad</v>
      </c>
      <c r="G50" s="8" t="str">
        <f>_xlfn.XLOOKUP(D50,'Cleaned Data'!D50:D147,'Cleaning Tasks'!Q50:Q147)</f>
        <v>Business</v>
      </c>
      <c r="H50" s="48">
        <f>_xlfn.XLOOKUP(D50,'Cleaning Tasks'!D50:D147,'Cleaning Tasks'!H50:H147)</f>
        <v>148000</v>
      </c>
      <c r="I50" s="8" t="str">
        <f>_xlfn.XLOOKUP(D50,'Cleaning Tasks'!D50:D147,'Cleaning Tasks'!R50:R147)</f>
        <v>Healthcare</v>
      </c>
      <c r="J50" s="8">
        <v>8300</v>
      </c>
      <c r="K50" s="8" t="s">
        <v>65</v>
      </c>
      <c r="L50" s="48">
        <v>49000</v>
      </c>
      <c r="M50" s="8">
        <f>_xlfn.XLOOKUP(D50,'Cleaning Tasks'!D50:D147,'Cleaning Tasks'!S50:S147)</f>
        <v>22000</v>
      </c>
      <c r="N50" s="8">
        <v>814</v>
      </c>
      <c r="O50" s="8" t="s">
        <v>66</v>
      </c>
    </row>
    <row r="51" spans="1:15" ht="15" customHeight="1" x14ac:dyDescent="0.25">
      <c r="A51" s="8" t="s">
        <v>184</v>
      </c>
      <c r="B51" s="9">
        <v>45756</v>
      </c>
      <c r="C51" s="8" t="s">
        <v>39</v>
      </c>
      <c r="D51" s="8" t="s">
        <v>185</v>
      </c>
      <c r="E51" s="8">
        <v>30</v>
      </c>
      <c r="F51" s="8" t="str">
        <f>_xlfn.XLOOKUP(D51,'Cleaning Tasks'!D51:D148,'Cleaning Tasks'!P51:P148)</f>
        <v>Kolkata</v>
      </c>
      <c r="G51" s="8" t="str">
        <f>_xlfn.XLOOKUP(D51,'Cleaned Data'!D51:D148,'Cleaning Tasks'!Q51:Q148)</f>
        <v>Salary</v>
      </c>
      <c r="H51" s="48">
        <f>_xlfn.XLOOKUP(D51,'Cleaning Tasks'!D51:D148,'Cleaning Tasks'!H51:H148)</f>
        <v>72000</v>
      </c>
      <c r="I51" s="8" t="str">
        <f>_xlfn.XLOOKUP(D51,'Cleaning Tasks'!D51:D148,'Cleaning Tasks'!R51:R148)</f>
        <v>Shopping</v>
      </c>
      <c r="J51" s="8">
        <v>7400</v>
      </c>
      <c r="K51" s="8" t="s">
        <v>44</v>
      </c>
      <c r="L51" s="48">
        <v>13200</v>
      </c>
      <c r="M51" s="8">
        <f>_xlfn.XLOOKUP(D51,'Cleaning Tasks'!D51:D148,'Cleaning Tasks'!S51:S148)</f>
        <v>3000</v>
      </c>
      <c r="N51" s="8">
        <v>731</v>
      </c>
      <c r="O51" s="8" t="s">
        <v>53</v>
      </c>
    </row>
    <row r="52" spans="1:15" ht="15" customHeight="1" x14ac:dyDescent="0.25">
      <c r="A52" s="8" t="s">
        <v>186</v>
      </c>
      <c r="B52" s="9">
        <v>45757</v>
      </c>
      <c r="C52" s="8" t="s">
        <v>47</v>
      </c>
      <c r="D52" s="8" t="s">
        <v>187</v>
      </c>
      <c r="E52" s="8">
        <v>35</v>
      </c>
      <c r="F52" s="8" t="str">
        <f>_xlfn.XLOOKUP(D52,'Cleaning Tasks'!D52:D149,'Cleaning Tasks'!P52:P149)</f>
        <v>Delhi</v>
      </c>
      <c r="G52" s="8" t="str">
        <f>_xlfn.XLOOKUP(D52,'Cleaned Data'!D52:D149,'Cleaning Tasks'!Q52:Q149)</f>
        <v>Unknown</v>
      </c>
      <c r="H52" s="48">
        <f>_xlfn.XLOOKUP(D52,'Cleaning Tasks'!D52:D149,'Cleaning Tasks'!H52:H149)</f>
        <v>80000</v>
      </c>
      <c r="I52" s="8" t="str">
        <f>_xlfn.XLOOKUP(D52,'Cleaning Tasks'!D52:D149,'Cleaning Tasks'!R52:R149)</f>
        <v>Travel</v>
      </c>
      <c r="J52" s="8">
        <v>10100</v>
      </c>
      <c r="K52" s="8" t="s">
        <v>52</v>
      </c>
      <c r="L52" s="48">
        <v>17500</v>
      </c>
      <c r="M52" s="8">
        <f>_xlfn.XLOOKUP(D52,'Cleaning Tasks'!D52:D149,'Cleaning Tasks'!S52:S149)</f>
        <v>9000</v>
      </c>
      <c r="N52" s="8">
        <v>744</v>
      </c>
      <c r="O52" s="8" t="s">
        <v>53</v>
      </c>
    </row>
    <row r="53" spans="1:15" ht="15" customHeight="1" x14ac:dyDescent="0.25">
      <c r="A53" s="8" t="s">
        <v>188</v>
      </c>
      <c r="B53" s="9">
        <v>45758</v>
      </c>
      <c r="C53" s="8" t="s">
        <v>55</v>
      </c>
      <c r="D53" s="8" t="s">
        <v>189</v>
      </c>
      <c r="E53" s="8">
        <v>27</v>
      </c>
      <c r="F53" s="8" t="str">
        <f>_xlfn.XLOOKUP(D53,'Cleaning Tasks'!D53:D150,'Cleaning Tasks'!P53:P150)</f>
        <v>Kolkata</v>
      </c>
      <c r="G53" s="8" t="str">
        <f>_xlfn.XLOOKUP(D53,'Cleaned Data'!D53:D150,'Cleaning Tasks'!Q53:Q150)</f>
        <v>Freelancing</v>
      </c>
      <c r="H53" s="48">
        <f>_xlfn.XLOOKUP(D53,'Cleaning Tasks'!D53:D150,'Cleaning Tasks'!H53:H150)</f>
        <v>54000</v>
      </c>
      <c r="I53" s="8" t="str">
        <f>_xlfn.XLOOKUP(D53,'Cleaning Tasks'!D53:D150,'Cleaning Tasks'!R53:R150)</f>
        <v>Food</v>
      </c>
      <c r="J53" s="8">
        <v>5100</v>
      </c>
      <c r="K53" s="8" t="s">
        <v>44</v>
      </c>
      <c r="L53" s="48">
        <v>7200</v>
      </c>
      <c r="M53" s="8">
        <f>_xlfn.XLOOKUP(D53,'Cleaning Tasks'!D53:D150,'Cleaning Tasks'!S53:S150)</f>
        <v>0</v>
      </c>
      <c r="N53" s="8">
        <v>700</v>
      </c>
      <c r="O53" s="8" t="s">
        <v>45</v>
      </c>
    </row>
    <row r="54" spans="1:15" ht="15" customHeight="1" x14ac:dyDescent="0.25">
      <c r="A54" s="8" t="s">
        <v>190</v>
      </c>
      <c r="B54" s="9">
        <v>45684</v>
      </c>
      <c r="C54" s="8" t="s">
        <v>60</v>
      </c>
      <c r="D54" s="8" t="s">
        <v>191</v>
      </c>
      <c r="E54" s="8">
        <v>30</v>
      </c>
      <c r="F54" s="8" t="str">
        <f>_xlfn.XLOOKUP(D54,'Cleaning Tasks'!D54:D151,'Cleaning Tasks'!P54:P151)</f>
        <v>Kolkata</v>
      </c>
      <c r="G54" s="8" t="str">
        <f>_xlfn.XLOOKUP(D54,'Cleaned Data'!D54:D151,'Cleaning Tasks'!Q54:Q151)</f>
        <v>Salary</v>
      </c>
      <c r="H54" s="48">
        <f>_xlfn.XLOOKUP(D54,'Cleaning Tasks'!D54:D151,'Cleaning Tasks'!H54:H151)</f>
        <v>67000</v>
      </c>
      <c r="I54" s="8" t="str">
        <f>_xlfn.XLOOKUP(D54,'Cleaning Tasks'!D54:D151,'Cleaning Tasks'!R54:R151)</f>
        <v>Healthcare</v>
      </c>
      <c r="J54" s="8">
        <v>3400</v>
      </c>
      <c r="K54" s="8" t="s">
        <v>44</v>
      </c>
      <c r="L54" s="48">
        <v>14000</v>
      </c>
      <c r="M54" s="8">
        <f>_xlfn.XLOOKUP(D54,'Cleaning Tasks'!D54:D151,'Cleaning Tasks'!S54:S151)</f>
        <v>2500</v>
      </c>
      <c r="N54" s="8">
        <v>738</v>
      </c>
      <c r="O54" s="8" t="s">
        <v>53</v>
      </c>
    </row>
    <row r="55" spans="1:15" ht="15" customHeight="1" x14ac:dyDescent="0.25">
      <c r="A55" s="8" t="s">
        <v>192</v>
      </c>
      <c r="B55" s="9">
        <v>45685</v>
      </c>
      <c r="C55" s="8" t="s">
        <v>68</v>
      </c>
      <c r="D55" s="8" t="s">
        <v>193</v>
      </c>
      <c r="E55" s="8">
        <v>27</v>
      </c>
      <c r="F55" s="8" t="str">
        <f>_xlfn.XLOOKUP(D55,'Cleaning Tasks'!D55:D152,'Cleaning Tasks'!P55:P152)</f>
        <v>Delhi</v>
      </c>
      <c r="G55" s="8" t="str">
        <f>_xlfn.XLOOKUP(D55,'Cleaned Data'!D55:D152,'Cleaning Tasks'!Q55:Q152)</f>
        <v>Freelancing</v>
      </c>
      <c r="H55" s="48">
        <f>_xlfn.XLOOKUP(D55,'Cleaning Tasks'!D55:D152,'Cleaning Tasks'!H55:H152)</f>
        <v>51000</v>
      </c>
      <c r="I55" s="8" t="str">
        <f>_xlfn.XLOOKUP(D55,'Cleaning Tasks'!D55:D152,'Cleaning Tasks'!R55:R152)</f>
        <v>Unknown</v>
      </c>
      <c r="J55" s="8">
        <v>4700</v>
      </c>
      <c r="K55" s="8" t="s">
        <v>57</v>
      </c>
      <c r="L55" s="48">
        <v>6000</v>
      </c>
      <c r="M55" s="8">
        <f>_xlfn.XLOOKUP(D55,'Cleaning Tasks'!D55:D152,'Cleaning Tasks'!S55:S152)</f>
        <v>0</v>
      </c>
      <c r="N55" s="8">
        <v>688</v>
      </c>
      <c r="O55" s="8" t="s">
        <v>58</v>
      </c>
    </row>
    <row r="56" spans="1:15" ht="15" customHeight="1" x14ac:dyDescent="0.25">
      <c r="A56" s="8" t="s">
        <v>194</v>
      </c>
      <c r="B56" s="9">
        <v>45686</v>
      </c>
      <c r="C56" s="8" t="s">
        <v>74</v>
      </c>
      <c r="D56" s="8" t="s">
        <v>195</v>
      </c>
      <c r="E56" s="8">
        <v>35</v>
      </c>
      <c r="F56" s="8" t="str">
        <f>_xlfn.XLOOKUP(D56,'Cleaning Tasks'!D56:D153,'Cleaning Tasks'!P56:P153)</f>
        <v>Bangalore</v>
      </c>
      <c r="G56" s="8" t="str">
        <f>_xlfn.XLOOKUP(D56,'Cleaned Data'!D56:D153,'Cleaning Tasks'!Q56:Q153)</f>
        <v>Business</v>
      </c>
      <c r="H56" s="48">
        <f>_xlfn.XLOOKUP(D56,'Cleaning Tasks'!D56:D153,'Cleaning Tasks'!H56:H153)</f>
        <v>118000</v>
      </c>
      <c r="I56" s="8" t="str">
        <f>_xlfn.XLOOKUP(D56,'Cleaning Tasks'!D56:D153,'Cleaning Tasks'!R56:R153)</f>
        <v>Rent</v>
      </c>
      <c r="J56" s="8">
        <v>28000</v>
      </c>
      <c r="K56" s="8" t="s">
        <v>293</v>
      </c>
      <c r="L56" s="48">
        <v>32000</v>
      </c>
      <c r="M56" s="8">
        <f>_xlfn.XLOOKUP(D56,'Cleaning Tasks'!D56:D153,'Cleaning Tasks'!S56:S153)</f>
        <v>14000</v>
      </c>
      <c r="N56" s="8">
        <v>799</v>
      </c>
      <c r="O56" s="8" t="s">
        <v>66</v>
      </c>
    </row>
    <row r="57" spans="1:15" ht="15" customHeight="1" x14ac:dyDescent="0.25">
      <c r="A57" s="8" t="s">
        <v>196</v>
      </c>
      <c r="B57" s="9">
        <v>45687</v>
      </c>
      <c r="C57" s="8" t="s">
        <v>79</v>
      </c>
      <c r="D57" s="8" t="s">
        <v>197</v>
      </c>
      <c r="E57" s="8">
        <v>44</v>
      </c>
      <c r="F57" s="8" t="str">
        <f>_xlfn.XLOOKUP(D57,'Cleaning Tasks'!D57:D154,'Cleaning Tasks'!P57:P154)</f>
        <v>Unknown</v>
      </c>
      <c r="G57" s="8" t="str">
        <f>_xlfn.XLOOKUP(D57,'Cleaned Data'!D57:D154,'Cleaning Tasks'!Q57:Q154)</f>
        <v>Salary</v>
      </c>
      <c r="H57" s="48">
        <f>_xlfn.XLOOKUP(D57,'Cleaning Tasks'!D57:D154,'Cleaning Tasks'!H57:H154)</f>
        <v>83000</v>
      </c>
      <c r="I57" s="8" t="str">
        <f>_xlfn.XLOOKUP(D57,'Cleaning Tasks'!D57:D154,'Cleaning Tasks'!R57:R154)</f>
        <v>Utilities</v>
      </c>
      <c r="J57" s="8">
        <v>7200</v>
      </c>
      <c r="K57" s="8" t="s">
        <v>65</v>
      </c>
      <c r="L57" s="48">
        <v>18000</v>
      </c>
      <c r="M57" s="8">
        <f>_xlfn.XLOOKUP(D57,'Cleaning Tasks'!D57:D154,'Cleaning Tasks'!S57:S154)</f>
        <v>10000</v>
      </c>
      <c r="N57" s="8">
        <v>712</v>
      </c>
      <c r="O57" s="8" t="s">
        <v>45</v>
      </c>
    </row>
    <row r="58" spans="1:15" ht="15" customHeight="1" x14ac:dyDescent="0.25">
      <c r="A58" s="8" t="s">
        <v>198</v>
      </c>
      <c r="B58" s="9">
        <v>45688</v>
      </c>
      <c r="C58" s="8" t="s">
        <v>84</v>
      </c>
      <c r="D58" s="8" t="s">
        <v>199</v>
      </c>
      <c r="E58" s="8">
        <v>26</v>
      </c>
      <c r="F58" s="8" t="str">
        <f>_xlfn.XLOOKUP(D58,'Cleaning Tasks'!D58:D155,'Cleaning Tasks'!P58:P155)</f>
        <v>Kolkata</v>
      </c>
      <c r="G58" s="8" t="str">
        <f>_xlfn.XLOOKUP(D58,'Cleaned Data'!D58:D155,'Cleaning Tasks'!Q58:Q155)</f>
        <v>Internship</v>
      </c>
      <c r="H58" s="48">
        <f>_xlfn.XLOOKUP(D58,'Cleaning Tasks'!D58:D155,'Cleaning Tasks'!H58:H155)</f>
        <v>31000</v>
      </c>
      <c r="I58" s="8" t="str">
        <f>_xlfn.XLOOKUP(D58,'Cleaning Tasks'!D58:D155,'Cleaning Tasks'!R58:R155)</f>
        <v>Education</v>
      </c>
      <c r="J58" s="8">
        <v>3800</v>
      </c>
      <c r="K58" s="8" t="s">
        <v>44</v>
      </c>
      <c r="L58" s="48">
        <v>4500</v>
      </c>
      <c r="M58" s="8">
        <f>_xlfn.XLOOKUP(D58,'Cleaning Tasks'!D58:D155,'Cleaning Tasks'!S58:S155)</f>
        <v>0</v>
      </c>
      <c r="N58" s="8">
        <v>675</v>
      </c>
      <c r="O58" s="8" t="s">
        <v>58</v>
      </c>
    </row>
    <row r="59" spans="1:15" ht="15" customHeight="1" x14ac:dyDescent="0.25">
      <c r="A59" s="8" t="s">
        <v>200</v>
      </c>
      <c r="B59" s="9">
        <v>45689</v>
      </c>
      <c r="C59" s="8" t="s">
        <v>89</v>
      </c>
      <c r="D59" s="8" t="s">
        <v>201</v>
      </c>
      <c r="E59" s="8">
        <v>33</v>
      </c>
      <c r="F59" s="8" t="str">
        <f>_xlfn.XLOOKUP(D59,'Cleaning Tasks'!D59:D156,'Cleaning Tasks'!P59:P156)</f>
        <v>Mumbai</v>
      </c>
      <c r="G59" s="8" t="str">
        <f>_xlfn.XLOOKUP(D59,'Cleaned Data'!D59:D156,'Cleaning Tasks'!Q59:Q156)</f>
        <v>Salary</v>
      </c>
      <c r="H59" s="48">
        <f>_xlfn.XLOOKUP(D59,'Cleaning Tasks'!D59:D156,'Cleaning Tasks'!H59:H156)</f>
        <v>78000</v>
      </c>
      <c r="I59" s="8" t="str">
        <f>_xlfn.XLOOKUP(D59,'Cleaning Tasks'!D59:D156,'Cleaning Tasks'!R59:R156)</f>
        <v>Travel</v>
      </c>
      <c r="J59" s="8">
        <v>9100</v>
      </c>
      <c r="K59" s="8" t="s">
        <v>52</v>
      </c>
      <c r="L59" s="48">
        <v>13000</v>
      </c>
      <c r="M59" s="8">
        <f>_xlfn.XLOOKUP(D59,'Cleaning Tasks'!D59:D156,'Cleaning Tasks'!S59:S156)</f>
        <v>5000</v>
      </c>
      <c r="N59" s="8">
        <v>741</v>
      </c>
      <c r="O59" s="8" t="s">
        <v>53</v>
      </c>
    </row>
    <row r="60" spans="1:15" ht="15" customHeight="1" x14ac:dyDescent="0.25">
      <c r="A60" s="8" t="s">
        <v>202</v>
      </c>
      <c r="B60" s="9">
        <v>45690</v>
      </c>
      <c r="C60" s="8" t="s">
        <v>93</v>
      </c>
      <c r="D60" s="8" t="s">
        <v>203</v>
      </c>
      <c r="E60" s="8">
        <v>29</v>
      </c>
      <c r="F60" s="8" t="str">
        <f>_xlfn.XLOOKUP(D60,'Cleaning Tasks'!D60:D157,'Cleaning Tasks'!P60:P157)</f>
        <v>Jaipur</v>
      </c>
      <c r="G60" s="8" t="str">
        <f>_xlfn.XLOOKUP(D60,'Cleaned Data'!D60:D157,'Cleaning Tasks'!Q60:Q157)</f>
        <v>Freelancing</v>
      </c>
      <c r="H60" s="48">
        <f>_xlfn.XLOOKUP(D60,'Cleaning Tasks'!D60:D157,'Cleaning Tasks'!H60:H157)</f>
        <v>56000</v>
      </c>
      <c r="I60" s="8" t="str">
        <f>_xlfn.XLOOKUP(D60,'Cleaning Tasks'!D60:D157,'Cleaning Tasks'!R60:R157)</f>
        <v>Shopping</v>
      </c>
      <c r="J60" s="8">
        <v>6900</v>
      </c>
      <c r="K60" s="8" t="s">
        <v>44</v>
      </c>
      <c r="L60" s="48">
        <v>8000</v>
      </c>
      <c r="M60" s="8">
        <f>_xlfn.XLOOKUP(D60,'Cleaning Tasks'!D60:D157,'Cleaning Tasks'!S60:S157)</f>
        <v>7000</v>
      </c>
      <c r="N60" s="8">
        <v>701</v>
      </c>
      <c r="O60" s="8" t="s">
        <v>45</v>
      </c>
    </row>
    <row r="61" spans="1:15" ht="15" customHeight="1" x14ac:dyDescent="0.25">
      <c r="A61" s="8" t="s">
        <v>204</v>
      </c>
      <c r="B61" s="9">
        <v>45691</v>
      </c>
      <c r="C61" s="8" t="s">
        <v>98</v>
      </c>
      <c r="D61" s="8" t="s">
        <v>205</v>
      </c>
      <c r="E61" s="8">
        <v>39</v>
      </c>
      <c r="F61" s="8" t="str">
        <f>_xlfn.XLOOKUP(D61,'Cleaning Tasks'!D61:D158,'Cleaning Tasks'!P61:P158)</f>
        <v>Delhi</v>
      </c>
      <c r="G61" s="8" t="str">
        <f>_xlfn.XLOOKUP(D61,'Cleaned Data'!D61:D158,'Cleaning Tasks'!Q61:Q158)</f>
        <v>Unknown</v>
      </c>
      <c r="H61" s="48">
        <f>_xlfn.XLOOKUP(D61,'Cleaning Tasks'!D61:D158,'Cleaning Tasks'!H61:H158)</f>
        <v>138000</v>
      </c>
      <c r="I61" s="8" t="str">
        <f>_xlfn.XLOOKUP(D61,'Cleaning Tasks'!D61:D158,'Cleaning Tasks'!R61:R158)</f>
        <v>Investment</v>
      </c>
      <c r="J61" s="8">
        <v>32000</v>
      </c>
      <c r="K61" s="8" t="s">
        <v>65</v>
      </c>
      <c r="L61" s="48">
        <v>41000</v>
      </c>
      <c r="M61" s="8">
        <f>_xlfn.XLOOKUP(D61,'Cleaning Tasks'!D61:D158,'Cleaning Tasks'!S61:S158)</f>
        <v>18000</v>
      </c>
      <c r="N61" s="8">
        <v>807</v>
      </c>
      <c r="O61" s="8" t="s">
        <v>66</v>
      </c>
    </row>
    <row r="62" spans="1:15" ht="15" customHeight="1" x14ac:dyDescent="0.25">
      <c r="A62" s="8" t="s">
        <v>206</v>
      </c>
      <c r="B62" s="9">
        <v>45692</v>
      </c>
      <c r="C62" s="8" t="s">
        <v>102</v>
      </c>
      <c r="D62" s="8" t="s">
        <v>207</v>
      </c>
      <c r="E62" s="8">
        <v>31</v>
      </c>
      <c r="F62" s="8" t="str">
        <f>_xlfn.XLOOKUP(D62,'Cleaning Tasks'!D62:D159,'Cleaning Tasks'!P62:P159)</f>
        <v>Kolkata</v>
      </c>
      <c r="G62" s="8" t="str">
        <f>_xlfn.XLOOKUP(D62,'Cleaned Data'!D62:D159,'Cleaning Tasks'!Q62:Q159)</f>
        <v>Salary</v>
      </c>
      <c r="H62" s="48">
        <f>_xlfn.XLOOKUP(D62,'Cleaning Tasks'!D62:D159,'Cleaning Tasks'!H62:H159)</f>
        <v>69000</v>
      </c>
      <c r="I62" s="8" t="str">
        <f>_xlfn.XLOOKUP(D62,'Cleaning Tasks'!D62:D159,'Cleaning Tasks'!R62:R159)</f>
        <v>Groceries</v>
      </c>
      <c r="J62" s="8">
        <v>6400</v>
      </c>
      <c r="K62" s="8" t="s">
        <v>52</v>
      </c>
      <c r="L62" s="48">
        <v>12000</v>
      </c>
      <c r="M62" s="8">
        <f>_xlfn.XLOOKUP(D62,'Cleaning Tasks'!D62:D159,'Cleaning Tasks'!S62:S159)</f>
        <v>3000</v>
      </c>
      <c r="N62" s="8">
        <v>728</v>
      </c>
      <c r="O62" s="8" t="s">
        <v>53</v>
      </c>
    </row>
    <row r="63" spans="1:15" ht="15" customHeight="1" x14ac:dyDescent="0.25">
      <c r="A63" s="8" t="s">
        <v>208</v>
      </c>
      <c r="B63" s="9">
        <v>45693</v>
      </c>
      <c r="C63" s="8" t="s">
        <v>39</v>
      </c>
      <c r="D63" s="8" t="s">
        <v>209</v>
      </c>
      <c r="E63" s="8">
        <v>28</v>
      </c>
      <c r="F63" s="8" t="str">
        <f>_xlfn.XLOOKUP(D63,'Cleaning Tasks'!D63:D160,'Cleaning Tasks'!P63:P160)</f>
        <v>Kolkata</v>
      </c>
      <c r="G63" s="8" t="str">
        <f>_xlfn.XLOOKUP(D63,'Cleaned Data'!D63:D160,'Cleaning Tasks'!Q63:Q160)</f>
        <v>Salary</v>
      </c>
      <c r="H63" s="48">
        <f>_xlfn.XLOOKUP(D63,'Cleaning Tasks'!D63:D160,'Cleaning Tasks'!H63:H160)</f>
        <v>62000</v>
      </c>
      <c r="I63" s="8" t="str">
        <f>_xlfn.XLOOKUP(D63,'Cleaning Tasks'!D63:D160,'Cleaning Tasks'!R63:R160)</f>
        <v>Rent</v>
      </c>
      <c r="J63" s="8">
        <v>19000</v>
      </c>
      <c r="K63" s="8" t="s">
        <v>44</v>
      </c>
      <c r="L63" s="48">
        <v>10000</v>
      </c>
      <c r="M63" s="8">
        <f>_xlfn.XLOOKUP(D63,'Cleaning Tasks'!D63:D160,'Cleaning Tasks'!S63:S160)</f>
        <v>4000</v>
      </c>
      <c r="N63" s="8">
        <v>719</v>
      </c>
      <c r="O63" s="8" t="s">
        <v>45</v>
      </c>
    </row>
    <row r="64" spans="1:15" ht="15" customHeight="1" x14ac:dyDescent="0.25">
      <c r="A64" s="8" t="s">
        <v>210</v>
      </c>
      <c r="B64" s="9">
        <v>45694</v>
      </c>
      <c r="C64" s="8" t="s">
        <v>47</v>
      </c>
      <c r="D64" s="8" t="s">
        <v>211</v>
      </c>
      <c r="E64" s="8">
        <v>36</v>
      </c>
      <c r="F64" s="8" t="str">
        <f>_xlfn.XLOOKUP(D64,'Cleaning Tasks'!D64:D161,'Cleaning Tasks'!P64:P161)</f>
        <v>Delhi</v>
      </c>
      <c r="G64" s="8" t="str">
        <f>_xlfn.XLOOKUP(D64,'Cleaned Data'!D64:D161,'Cleaning Tasks'!Q64:Q161)</f>
        <v>Salary</v>
      </c>
      <c r="H64" s="48">
        <f>_xlfn.XLOOKUP(D64,'Cleaning Tasks'!D64:D161,'Cleaning Tasks'!H64:H161)</f>
        <v>87000</v>
      </c>
      <c r="I64" s="8" t="str">
        <f>_xlfn.XLOOKUP(D64,'Cleaning Tasks'!D64:D161,'Cleaning Tasks'!R64:R161)</f>
        <v>Transport</v>
      </c>
      <c r="J64" s="8">
        <v>4300</v>
      </c>
      <c r="K64" s="8" t="s">
        <v>57</v>
      </c>
      <c r="L64" s="48">
        <v>17000</v>
      </c>
      <c r="M64" s="8">
        <f>_xlfn.XLOOKUP(D64,'Cleaning Tasks'!D64:D161,'Cleaning Tasks'!S64:S161)</f>
        <v>8500</v>
      </c>
      <c r="N64" s="8">
        <v>734</v>
      </c>
      <c r="O64" s="8" t="s">
        <v>53</v>
      </c>
    </row>
    <row r="65" spans="1:15" ht="15" customHeight="1" x14ac:dyDescent="0.25">
      <c r="A65" s="8" t="s">
        <v>212</v>
      </c>
      <c r="B65" s="9">
        <v>45695</v>
      </c>
      <c r="C65" s="8" t="s">
        <v>55</v>
      </c>
      <c r="D65" s="8" t="s">
        <v>213</v>
      </c>
      <c r="E65" s="8">
        <v>24</v>
      </c>
      <c r="F65" s="8" t="str">
        <f>_xlfn.XLOOKUP(D65,'Cleaning Tasks'!D65:D162,'Cleaning Tasks'!P65:P162)</f>
        <v>Pune</v>
      </c>
      <c r="G65" s="8" t="str">
        <f>_xlfn.XLOOKUP(D65,'Cleaned Data'!D65:D162,'Cleaning Tasks'!Q65:Q162)</f>
        <v>Internship</v>
      </c>
      <c r="H65" s="48">
        <f>_xlfn.XLOOKUP(D65,'Cleaning Tasks'!D65:D162,'Cleaning Tasks'!H65:H162)</f>
        <v>29000</v>
      </c>
      <c r="I65" s="8" t="str">
        <f>_xlfn.XLOOKUP(D65,'Cleaning Tasks'!D65:D162,'Cleaning Tasks'!R65:R162)</f>
        <v>Entertainment</v>
      </c>
      <c r="J65" s="8">
        <v>3600</v>
      </c>
      <c r="K65" s="8" t="s">
        <v>44</v>
      </c>
      <c r="L65" s="48">
        <v>3000</v>
      </c>
      <c r="M65" s="8">
        <f>_xlfn.XLOOKUP(D65,'Cleaning Tasks'!D65:D162,'Cleaning Tasks'!S65:S162)</f>
        <v>0</v>
      </c>
      <c r="N65" s="8">
        <v>682</v>
      </c>
      <c r="O65" s="8" t="s">
        <v>58</v>
      </c>
    </row>
    <row r="66" spans="1:15" ht="15" customHeight="1" x14ac:dyDescent="0.25">
      <c r="A66" s="8" t="s">
        <v>214</v>
      </c>
      <c r="B66" s="9">
        <v>45696</v>
      </c>
      <c r="C66" s="8" t="s">
        <v>60</v>
      </c>
      <c r="D66" s="8" t="s">
        <v>215</v>
      </c>
      <c r="E66" s="8">
        <v>41</v>
      </c>
      <c r="F66" s="8" t="str">
        <f>_xlfn.XLOOKUP(D66,'Cleaning Tasks'!D66:D163,'Cleaning Tasks'!P66:P163)</f>
        <v>Ahmedabad</v>
      </c>
      <c r="G66" s="8" t="str">
        <f>_xlfn.XLOOKUP(D66,'Cleaned Data'!D66:D163,'Cleaning Tasks'!Q66:Q163)</f>
        <v>Business</v>
      </c>
      <c r="H66" s="48">
        <f>_xlfn.XLOOKUP(D66,'Cleaning Tasks'!D66:D163,'Cleaning Tasks'!H66:H163)</f>
        <v>128000</v>
      </c>
      <c r="I66" s="8" t="str">
        <f>_xlfn.XLOOKUP(D66,'Cleaning Tasks'!D66:D163,'Cleaning Tasks'!R66:R163)</f>
        <v>Healthcare</v>
      </c>
      <c r="J66" s="8">
        <v>7600</v>
      </c>
      <c r="K66" s="8" t="s">
        <v>82</v>
      </c>
      <c r="L66" s="48">
        <v>35000</v>
      </c>
      <c r="M66" s="8">
        <f>_xlfn.XLOOKUP(D66,'Cleaning Tasks'!D66:D163,'Cleaning Tasks'!S66:S163)</f>
        <v>16000</v>
      </c>
      <c r="N66" s="8">
        <v>792</v>
      </c>
      <c r="O66" s="8" t="s">
        <v>66</v>
      </c>
    </row>
    <row r="67" spans="1:15" ht="15" customHeight="1" x14ac:dyDescent="0.25">
      <c r="A67" s="8" t="s">
        <v>216</v>
      </c>
      <c r="B67" s="9">
        <v>45697</v>
      </c>
      <c r="C67" s="8" t="s">
        <v>68</v>
      </c>
      <c r="D67" s="8" t="s">
        <v>217</v>
      </c>
      <c r="E67" s="8">
        <v>32</v>
      </c>
      <c r="F67" s="8" t="str">
        <f>_xlfn.XLOOKUP(D67,'Cleaning Tasks'!D67:D164,'Cleaning Tasks'!P67:P164)</f>
        <v>Unknown</v>
      </c>
      <c r="G67" s="8" t="str">
        <f>_xlfn.XLOOKUP(D67,'Cleaned Data'!D67:D164,'Cleaning Tasks'!Q67:Q164)</f>
        <v>Salary</v>
      </c>
      <c r="H67" s="48">
        <f>_xlfn.XLOOKUP(D67,'Cleaning Tasks'!D67:D164,'Cleaning Tasks'!H67:H164)</f>
        <v>71000</v>
      </c>
      <c r="I67" s="8" t="str">
        <f>_xlfn.XLOOKUP(D67,'Cleaning Tasks'!D67:D164,'Cleaning Tasks'!R67:R164)</f>
        <v>Unknown</v>
      </c>
      <c r="J67" s="8">
        <v>6100</v>
      </c>
      <c r="K67" s="8" t="s">
        <v>52</v>
      </c>
      <c r="L67" s="48">
        <v>11000</v>
      </c>
      <c r="M67" s="8">
        <f>_xlfn.XLOOKUP(D67,'Cleaning Tasks'!D67:D164,'Cleaning Tasks'!S67:S164)</f>
        <v>4500</v>
      </c>
      <c r="N67" s="8">
        <v>725</v>
      </c>
      <c r="O67" s="8" t="s">
        <v>53</v>
      </c>
    </row>
    <row r="68" spans="1:15" ht="15" customHeight="1" x14ac:dyDescent="0.25">
      <c r="A68" s="8" t="s">
        <v>218</v>
      </c>
      <c r="B68" s="9">
        <v>45698</v>
      </c>
      <c r="C68" s="8" t="s">
        <v>74</v>
      </c>
      <c r="D68" s="8" t="s">
        <v>40</v>
      </c>
      <c r="E68" s="8">
        <v>29</v>
      </c>
      <c r="F68" s="8" t="str">
        <f>_xlfn.XLOOKUP(D68,'Cleaning Tasks'!D68:D165,'Cleaning Tasks'!P68:P165)</f>
        <v>Kolkatta</v>
      </c>
      <c r="G68" s="8" t="str">
        <f>_xlfn.XLOOKUP(D68,'Cleaned Data'!D68:D165,'Cleaning Tasks'!Q68:Q165)</f>
        <v xml:space="preserve"> Salary </v>
      </c>
      <c r="H68" s="48">
        <f>_xlfn.XLOOKUP(D68,'Cleaning Tasks'!D68:D165,'Cleaning Tasks'!H68:H165)</f>
        <v>65000</v>
      </c>
      <c r="I68" s="8" t="str">
        <f>_xlfn.XLOOKUP(D68,'Cleaning Tasks'!D68:D165,'Cleaning Tasks'!R68:R165)</f>
        <v>Rent</v>
      </c>
      <c r="J68" s="8">
        <v>18000</v>
      </c>
      <c r="K68" s="8" t="s">
        <v>44</v>
      </c>
      <c r="L68" s="48">
        <v>9000</v>
      </c>
      <c r="M68" s="8">
        <f>_xlfn.XLOOKUP(D68,'Cleaning Tasks'!D68:D165,'Cleaning Tasks'!S68:S165)</f>
        <v>5000</v>
      </c>
      <c r="N68" s="8">
        <v>742</v>
      </c>
      <c r="O68" s="8" t="s">
        <v>45</v>
      </c>
    </row>
    <row r="69" spans="1:15" ht="15" customHeight="1" x14ac:dyDescent="0.25">
      <c r="A69" s="8" t="s">
        <v>221</v>
      </c>
      <c r="B69" s="9">
        <v>45699</v>
      </c>
      <c r="C69" s="8" t="s">
        <v>79</v>
      </c>
      <c r="D69" s="8" t="s">
        <v>222</v>
      </c>
      <c r="E69" s="8">
        <v>27</v>
      </c>
      <c r="F69" s="8" t="str">
        <f>_xlfn.XLOOKUP(D69,'Cleaning Tasks'!D69:D166,'Cleaning Tasks'!P69:P166)</f>
        <v>Kolkata</v>
      </c>
      <c r="G69" s="8" t="str">
        <f>_xlfn.XLOOKUP(D69,'Cleaned Data'!D69:D166,'Cleaning Tasks'!Q69:Q166)</f>
        <v>Freelancing</v>
      </c>
      <c r="H69" s="48">
        <f>_xlfn.XLOOKUP(D69,'Cleaning Tasks'!D69:D166,'Cleaning Tasks'!H69:H166)</f>
        <v>53000</v>
      </c>
      <c r="I69" s="8" t="str">
        <f>_xlfn.XLOOKUP(D69,'Cleaning Tasks'!D69:D166,'Cleaning Tasks'!R69:R166)</f>
        <v>Shopping</v>
      </c>
      <c r="J69" s="8">
        <v>7900</v>
      </c>
      <c r="K69" s="8" t="s">
        <v>44</v>
      </c>
      <c r="L69" s="48">
        <v>7000</v>
      </c>
      <c r="M69" s="8">
        <f>_xlfn.XLOOKUP(D69,'Cleaning Tasks'!D69:D166,'Cleaning Tasks'!S69:S166)</f>
        <v>0</v>
      </c>
      <c r="N69" s="8">
        <v>695</v>
      </c>
      <c r="O69" s="8" t="s">
        <v>58</v>
      </c>
    </row>
    <row r="70" spans="1:15" ht="15" customHeight="1" x14ac:dyDescent="0.25">
      <c r="A70" s="8" t="s">
        <v>223</v>
      </c>
      <c r="B70" s="9">
        <v>45700</v>
      </c>
      <c r="C70" s="8" t="s">
        <v>84</v>
      </c>
      <c r="D70" s="8" t="s">
        <v>224</v>
      </c>
      <c r="E70" s="8">
        <v>38</v>
      </c>
      <c r="F70" s="8" t="str">
        <f>_xlfn.XLOOKUP(D70,'Cleaning Tasks'!D70:D167,'Cleaning Tasks'!P70:P167)</f>
        <v>Hyderabad</v>
      </c>
      <c r="G70" s="8" t="str">
        <f>_xlfn.XLOOKUP(D70,'Cleaned Data'!D70:D167,'Cleaning Tasks'!Q70:Q167)</f>
        <v>Salary</v>
      </c>
      <c r="H70" s="48">
        <f>_xlfn.XLOOKUP(D70,'Cleaning Tasks'!D70:D167,'Cleaning Tasks'!H70:H167)</f>
        <v>92000</v>
      </c>
      <c r="I70" s="8" t="str">
        <f>_xlfn.XLOOKUP(D70,'Cleaning Tasks'!D70:D167,'Cleaning Tasks'!R70:R167)</f>
        <v>Travel</v>
      </c>
      <c r="J70" s="8">
        <v>10400</v>
      </c>
      <c r="K70" s="8" t="s">
        <v>52</v>
      </c>
      <c r="L70" s="48">
        <v>20000</v>
      </c>
      <c r="M70" s="8">
        <f>_xlfn.XLOOKUP(D70,'Cleaning Tasks'!D70:D167,'Cleaning Tasks'!S70:S167)</f>
        <v>12000</v>
      </c>
      <c r="N70" s="8">
        <v>755</v>
      </c>
      <c r="O70" s="8" t="s">
        <v>53</v>
      </c>
    </row>
    <row r="71" spans="1:15" ht="15" customHeight="1" x14ac:dyDescent="0.25">
      <c r="A71" s="8" t="s">
        <v>225</v>
      </c>
      <c r="B71" s="9">
        <v>45701</v>
      </c>
      <c r="C71" s="8" t="s">
        <v>89</v>
      </c>
      <c r="D71" s="8" t="s">
        <v>226</v>
      </c>
      <c r="E71" s="8">
        <v>34</v>
      </c>
      <c r="F71" s="8" t="str">
        <f>_xlfn.XLOOKUP(D71,'Cleaning Tasks'!D71:D168,'Cleaning Tasks'!P71:P168)</f>
        <v>Chennai</v>
      </c>
      <c r="G71" s="8" t="str">
        <f>_xlfn.XLOOKUP(D71,'Cleaned Data'!D71:D168,'Cleaning Tasks'!Q71:Q168)</f>
        <v>Business</v>
      </c>
      <c r="H71" s="48">
        <f>_xlfn.XLOOKUP(D71,'Cleaning Tasks'!D71:D168,'Cleaning Tasks'!H71:H168)</f>
        <v>142000</v>
      </c>
      <c r="I71" s="8" t="str">
        <f>_xlfn.XLOOKUP(D71,'Cleaning Tasks'!D71:D168,'Cleaning Tasks'!R71:R168)</f>
        <v>Investment</v>
      </c>
      <c r="J71" s="8">
        <v>36000</v>
      </c>
      <c r="K71" s="8" t="s">
        <v>65</v>
      </c>
      <c r="L71" s="48">
        <v>45000</v>
      </c>
      <c r="M71" s="8">
        <f>_xlfn.XLOOKUP(D71,'Cleaning Tasks'!D71:D168,'Cleaning Tasks'!S71:S168)</f>
        <v>20000</v>
      </c>
      <c r="N71" s="8">
        <v>812</v>
      </c>
      <c r="O71" s="8" t="s">
        <v>66</v>
      </c>
    </row>
    <row r="72" spans="1:15" ht="15" customHeight="1" x14ac:dyDescent="0.25">
      <c r="A72" s="8" t="s">
        <v>227</v>
      </c>
      <c r="B72" s="9">
        <v>45702</v>
      </c>
      <c r="C72" s="8" t="s">
        <v>93</v>
      </c>
      <c r="D72" s="8" t="s">
        <v>228</v>
      </c>
      <c r="E72" s="8">
        <v>43</v>
      </c>
      <c r="F72" s="8" t="str">
        <f>_xlfn.XLOOKUP(D72,'Cleaning Tasks'!D72:D169,'Cleaning Tasks'!P72:P169)</f>
        <v>Patna</v>
      </c>
      <c r="G72" s="8" t="str">
        <f>_xlfn.XLOOKUP(D72,'Cleaned Data'!D72:D169,'Cleaning Tasks'!Q72:Q169)</f>
        <v>Salary</v>
      </c>
      <c r="H72" s="48">
        <f>_xlfn.XLOOKUP(D72,'Cleaning Tasks'!D72:D169,'Cleaning Tasks'!H72:H169)</f>
        <v>61000</v>
      </c>
      <c r="I72" s="8" t="str">
        <f>_xlfn.XLOOKUP(D72,'Cleaning Tasks'!D72:D169,'Cleaning Tasks'!R72:R169)</f>
        <v>Utilities</v>
      </c>
      <c r="J72" s="8">
        <v>5900</v>
      </c>
      <c r="K72" s="8" t="s">
        <v>57</v>
      </c>
      <c r="L72" s="48">
        <v>8000</v>
      </c>
      <c r="M72" s="8">
        <f>_xlfn.XLOOKUP(D72,'Cleaning Tasks'!D72:D169,'Cleaning Tasks'!S72:S169)</f>
        <v>7000</v>
      </c>
      <c r="N72" s="8">
        <v>676</v>
      </c>
      <c r="O72" s="8" t="s">
        <v>72</v>
      </c>
    </row>
    <row r="73" spans="1:15" ht="15" customHeight="1" x14ac:dyDescent="0.25">
      <c r="A73" s="8" t="s">
        <v>229</v>
      </c>
      <c r="B73" s="9">
        <v>45703</v>
      </c>
      <c r="C73" s="8" t="s">
        <v>98</v>
      </c>
      <c r="D73" s="8" t="s">
        <v>230</v>
      </c>
      <c r="E73" s="8">
        <v>29</v>
      </c>
      <c r="F73" s="8" t="str">
        <f>_xlfn.XLOOKUP(D73,'Cleaning Tasks'!D73:D170,'Cleaning Tasks'!P73:P170)</f>
        <v>Kolkata</v>
      </c>
      <c r="G73" s="8" t="str">
        <f>_xlfn.XLOOKUP(D73,'Cleaned Data'!D73:D170,'Cleaning Tasks'!Q73:Q170)</f>
        <v>Unknown</v>
      </c>
      <c r="H73" s="48">
        <f>_xlfn.XLOOKUP(D73,'Cleaning Tasks'!D73:D170,'Cleaning Tasks'!H73:H170)</f>
        <v>73000</v>
      </c>
      <c r="I73" s="8" t="str">
        <f>_xlfn.XLOOKUP(D73,'Cleaning Tasks'!D73:D170,'Cleaning Tasks'!R73:R170)</f>
        <v>Healthcare</v>
      </c>
      <c r="J73" s="8">
        <v>4100</v>
      </c>
      <c r="K73" s="8" t="s">
        <v>44</v>
      </c>
      <c r="L73" s="48">
        <v>15000</v>
      </c>
      <c r="M73" s="8">
        <f>_xlfn.XLOOKUP(D73,'Cleaning Tasks'!D73:D170,'Cleaning Tasks'!S73:S170)</f>
        <v>3000</v>
      </c>
      <c r="N73" s="8">
        <v>744</v>
      </c>
      <c r="O73" s="8" t="s">
        <v>53</v>
      </c>
    </row>
    <row r="74" spans="1:15" ht="15" customHeight="1" x14ac:dyDescent="0.25">
      <c r="A74" s="8" t="s">
        <v>231</v>
      </c>
      <c r="B74" s="9">
        <v>45704</v>
      </c>
      <c r="C74" s="8" t="s">
        <v>102</v>
      </c>
      <c r="D74" s="8" t="s">
        <v>232</v>
      </c>
      <c r="E74" s="8">
        <v>37</v>
      </c>
      <c r="F74" s="8" t="str">
        <f>_xlfn.XLOOKUP(D74,'Cleaning Tasks'!D74:D171,'Cleaning Tasks'!P74:P171)</f>
        <v>Mumbai</v>
      </c>
      <c r="G74" s="8" t="str">
        <f>_xlfn.XLOOKUP(D74,'Cleaned Data'!D74:D171,'Cleaning Tasks'!Q74:Q171)</f>
        <v>Freelancing</v>
      </c>
      <c r="H74" s="48">
        <f>_xlfn.XLOOKUP(D74,'Cleaning Tasks'!D74:D171,'Cleaning Tasks'!H74:H171)</f>
        <v>64000</v>
      </c>
      <c r="I74" s="8" t="str">
        <f>_xlfn.XLOOKUP(D74,'Cleaning Tasks'!D74:D171,'Cleaning Tasks'!R74:R171)</f>
        <v>Food</v>
      </c>
      <c r="J74" s="8">
        <v>5600</v>
      </c>
      <c r="K74" s="8" t="s">
        <v>52</v>
      </c>
      <c r="L74" s="48">
        <v>12000</v>
      </c>
      <c r="M74" s="8">
        <f>_xlfn.XLOOKUP(D74,'Cleaning Tasks'!D74:D171,'Cleaning Tasks'!S74:S171)</f>
        <v>2500</v>
      </c>
      <c r="N74" s="8">
        <v>718</v>
      </c>
      <c r="O74" s="8" t="s">
        <v>45</v>
      </c>
    </row>
    <row r="75" spans="1:15" ht="15" customHeight="1" x14ac:dyDescent="0.25">
      <c r="A75" s="8" t="s">
        <v>233</v>
      </c>
      <c r="B75" s="9">
        <v>45705</v>
      </c>
      <c r="C75" s="8" t="s">
        <v>39</v>
      </c>
      <c r="D75" s="8" t="s">
        <v>234</v>
      </c>
      <c r="E75" s="8">
        <v>26</v>
      </c>
      <c r="F75" s="8" t="str">
        <f>_xlfn.XLOOKUP(D75,'Cleaning Tasks'!D75:D172,'Cleaning Tasks'!P75:P172)</f>
        <v>Delhi</v>
      </c>
      <c r="G75" s="8" t="str">
        <f>_xlfn.XLOOKUP(D75,'Cleaned Data'!D75:D172,'Cleaning Tasks'!Q75:Q172)</f>
        <v>Salary</v>
      </c>
      <c r="H75" s="48">
        <f>_xlfn.XLOOKUP(D75,'Cleaning Tasks'!D75:D172,'Cleaning Tasks'!H75:H172)</f>
        <v>58000</v>
      </c>
      <c r="I75" s="8" t="str">
        <f>_xlfn.XLOOKUP(D75,'Cleaning Tasks'!D75:D172,'Cleaning Tasks'!R75:R172)</f>
        <v>Education</v>
      </c>
      <c r="J75" s="8">
        <v>6200</v>
      </c>
      <c r="K75" s="8" t="s">
        <v>44</v>
      </c>
      <c r="L75" s="48">
        <v>9000</v>
      </c>
      <c r="M75" s="8">
        <f>_xlfn.XLOOKUP(D75,'Cleaning Tasks'!D75:D172,'Cleaning Tasks'!S75:S172)</f>
        <v>9800</v>
      </c>
      <c r="N75" s="8">
        <v>708</v>
      </c>
      <c r="O75" s="8" t="s">
        <v>45</v>
      </c>
    </row>
    <row r="76" spans="1:15" ht="15" customHeight="1" x14ac:dyDescent="0.25">
      <c r="A76" s="8" t="s">
        <v>235</v>
      </c>
      <c r="B76" s="9">
        <v>45706</v>
      </c>
      <c r="C76" s="8" t="s">
        <v>47</v>
      </c>
      <c r="D76" s="8" t="s">
        <v>236</v>
      </c>
      <c r="E76" s="8">
        <v>45</v>
      </c>
      <c r="F76" s="8" t="str">
        <f>_xlfn.XLOOKUP(D76,'Cleaning Tasks'!D76:D173,'Cleaning Tasks'!P76:P173)</f>
        <v>Bangalore</v>
      </c>
      <c r="G76" s="8" t="str">
        <f>_xlfn.XLOOKUP(D76,'Cleaned Data'!D76:D173,'Cleaning Tasks'!Q76:Q173)</f>
        <v>Business</v>
      </c>
      <c r="H76" s="48">
        <f>_xlfn.XLOOKUP(D76,'Cleaning Tasks'!D76:D173,'Cleaning Tasks'!H76:H173)</f>
        <v>155000</v>
      </c>
      <c r="I76" s="8" t="str">
        <f>_xlfn.XLOOKUP(D76,'Cleaning Tasks'!D76:D173,'Cleaning Tasks'!R76:R173)</f>
        <v>Rent</v>
      </c>
      <c r="J76" s="8">
        <v>34000</v>
      </c>
      <c r="K76" s="8" t="s">
        <v>293</v>
      </c>
      <c r="L76" s="48">
        <v>50000</v>
      </c>
      <c r="M76" s="8">
        <f>_xlfn.XLOOKUP(D76,'Cleaning Tasks'!D76:D173,'Cleaning Tasks'!S76:S173)</f>
        <v>22000</v>
      </c>
      <c r="N76" s="8">
        <v>820</v>
      </c>
      <c r="O76" s="8" t="s">
        <v>66</v>
      </c>
    </row>
    <row r="77" spans="1:15" ht="15" customHeight="1" x14ac:dyDescent="0.25">
      <c r="A77" s="8" t="s">
        <v>237</v>
      </c>
      <c r="B77" s="9">
        <v>45707</v>
      </c>
      <c r="C77" s="8" t="s">
        <v>55</v>
      </c>
      <c r="D77" s="8" t="s">
        <v>238</v>
      </c>
      <c r="E77" s="8">
        <v>30</v>
      </c>
      <c r="F77" s="8" t="str">
        <f>_xlfn.XLOOKUP(D77,'Cleaning Tasks'!D77:D174,'Cleaning Tasks'!P77:P174)</f>
        <v>Kolkata</v>
      </c>
      <c r="G77" s="8" t="str">
        <f>_xlfn.XLOOKUP(D77,'Cleaned Data'!D77:D174,'Cleaning Tasks'!Q77:Q174)</f>
        <v>Salary</v>
      </c>
      <c r="H77" s="48">
        <f>_xlfn.XLOOKUP(D77,'Cleaning Tasks'!D77:D174,'Cleaning Tasks'!H77:H174)</f>
        <v>70000</v>
      </c>
      <c r="I77" s="8" t="str">
        <f>_xlfn.XLOOKUP(D77,'Cleaning Tasks'!D77:D174,'Cleaning Tasks'!R77:R174)</f>
        <v>Entertainment</v>
      </c>
      <c r="J77" s="8">
        <v>5300</v>
      </c>
      <c r="K77" s="8" t="s">
        <v>52</v>
      </c>
      <c r="L77" s="48">
        <v>13000</v>
      </c>
      <c r="M77" s="8">
        <f>_xlfn.XLOOKUP(D77,'Cleaning Tasks'!D77:D174,'Cleaning Tasks'!S77:S174)</f>
        <v>3500</v>
      </c>
      <c r="N77" s="8">
        <v>731</v>
      </c>
      <c r="O77" s="8" t="s">
        <v>53</v>
      </c>
    </row>
    <row r="78" spans="1:15" ht="15" customHeight="1" x14ac:dyDescent="0.25">
      <c r="A78" s="8" t="s">
        <v>239</v>
      </c>
      <c r="B78" s="9">
        <v>45708</v>
      </c>
      <c r="C78" s="8" t="s">
        <v>60</v>
      </c>
      <c r="D78" s="8" t="s">
        <v>240</v>
      </c>
      <c r="E78" s="8">
        <v>35</v>
      </c>
      <c r="F78" s="8" t="str">
        <f>_xlfn.XLOOKUP(D78,'Cleaning Tasks'!D78:D175,'Cleaning Tasks'!P78:P175)</f>
        <v>Delhi</v>
      </c>
      <c r="G78" s="8" t="str">
        <f>_xlfn.XLOOKUP(D78,'Cleaned Data'!D78:D175,'Cleaning Tasks'!Q78:Q175)</f>
        <v>Salary</v>
      </c>
      <c r="H78" s="48">
        <f>_xlfn.XLOOKUP(D78,'Cleaning Tasks'!D78:D175,'Cleaning Tasks'!H78:H175)</f>
        <v>84000</v>
      </c>
      <c r="I78" s="8" t="str">
        <f>_xlfn.XLOOKUP(D78,'Cleaning Tasks'!D78:D175,'Cleaning Tasks'!R78:R175)</f>
        <v>Transport</v>
      </c>
      <c r="J78" s="8">
        <v>4800</v>
      </c>
      <c r="K78" s="8" t="s">
        <v>57</v>
      </c>
      <c r="L78" s="48">
        <v>16000</v>
      </c>
      <c r="M78" s="8">
        <f>_xlfn.XLOOKUP(D78,'Cleaning Tasks'!D78:D175,'Cleaning Tasks'!S78:S175)</f>
        <v>9000</v>
      </c>
      <c r="N78" s="8">
        <v>726</v>
      </c>
      <c r="O78" s="8" t="s">
        <v>45</v>
      </c>
    </row>
    <row r="79" spans="1:15" ht="15" customHeight="1" x14ac:dyDescent="0.25">
      <c r="A79" s="8" t="s">
        <v>241</v>
      </c>
      <c r="B79" s="9">
        <v>45709</v>
      </c>
      <c r="C79" s="8" t="s">
        <v>68</v>
      </c>
      <c r="D79" s="8" t="s">
        <v>242</v>
      </c>
      <c r="E79" s="8">
        <v>28</v>
      </c>
      <c r="F79" s="8" t="str">
        <f>_xlfn.XLOOKUP(D79,'Cleaning Tasks'!D79:D176,'Cleaning Tasks'!P79:P176)</f>
        <v>Unknown</v>
      </c>
      <c r="G79" s="8" t="str">
        <f>_xlfn.XLOOKUP(D79,'Cleaned Data'!D79:D176,'Cleaning Tasks'!Q79:Q176)</f>
        <v>Freelancing</v>
      </c>
      <c r="H79" s="48">
        <f>_xlfn.XLOOKUP(D79,'Cleaning Tasks'!D79:D176,'Cleaning Tasks'!H79:H176)</f>
        <v>55000</v>
      </c>
      <c r="I79" s="8" t="str">
        <f>_xlfn.XLOOKUP(D79,'Cleaning Tasks'!D79:D176,'Cleaning Tasks'!R79:R176)</f>
        <v>Shopping</v>
      </c>
      <c r="J79" s="8">
        <v>8300</v>
      </c>
      <c r="K79" s="8" t="s">
        <v>44</v>
      </c>
      <c r="L79" s="48">
        <v>8500</v>
      </c>
      <c r="M79" s="8">
        <f>_xlfn.XLOOKUP(D79,'Cleaning Tasks'!D79:D176,'Cleaning Tasks'!S79:S176)</f>
        <v>0</v>
      </c>
      <c r="N79" s="8">
        <v>699</v>
      </c>
      <c r="O79" s="8" t="s">
        <v>58</v>
      </c>
    </row>
    <row r="80" spans="1:15" ht="15" customHeight="1" x14ac:dyDescent="0.25">
      <c r="A80" s="8" t="s">
        <v>243</v>
      </c>
      <c r="B80" s="9">
        <v>45710</v>
      </c>
      <c r="C80" s="8" t="s">
        <v>74</v>
      </c>
      <c r="D80" s="8" t="s">
        <v>244</v>
      </c>
      <c r="E80" s="8">
        <v>40</v>
      </c>
      <c r="F80" s="8" t="str">
        <f>_xlfn.XLOOKUP(D80,'Cleaning Tasks'!D80:D177,'Cleaning Tasks'!P80:P177)</f>
        <v>Ahmedabad</v>
      </c>
      <c r="G80" s="8" t="str">
        <f>_xlfn.XLOOKUP(D80,'Cleaned Data'!D80:D177,'Cleaning Tasks'!Q80:Q177)</f>
        <v>Business</v>
      </c>
      <c r="H80" s="48">
        <f>_xlfn.XLOOKUP(D80,'Cleaning Tasks'!D80:D177,'Cleaning Tasks'!H80:H177)</f>
        <v>134000</v>
      </c>
      <c r="I80" s="8" t="str">
        <f>_xlfn.XLOOKUP(D80,'Cleaning Tasks'!D80:D177,'Cleaning Tasks'!R80:R177)</f>
        <v>Investment</v>
      </c>
      <c r="J80" s="8">
        <v>31000</v>
      </c>
      <c r="K80" s="8" t="s">
        <v>65</v>
      </c>
      <c r="L80" s="48">
        <v>39000</v>
      </c>
      <c r="M80" s="8">
        <f>_xlfn.XLOOKUP(D80,'Cleaning Tasks'!D80:D177,'Cleaning Tasks'!S80:S177)</f>
        <v>17000</v>
      </c>
      <c r="N80" s="8">
        <v>803</v>
      </c>
      <c r="O80" s="8" t="s">
        <v>66</v>
      </c>
    </row>
    <row r="81" spans="1:15" ht="15" customHeight="1" x14ac:dyDescent="0.25">
      <c r="A81" s="8" t="s">
        <v>245</v>
      </c>
      <c r="B81" s="9">
        <v>45711</v>
      </c>
      <c r="C81" s="8" t="s">
        <v>79</v>
      </c>
      <c r="D81" s="8" t="s">
        <v>246</v>
      </c>
      <c r="E81" s="8">
        <v>31</v>
      </c>
      <c r="F81" s="8" t="str">
        <f>_xlfn.XLOOKUP(D81,'Cleaning Tasks'!D81:D178,'Cleaning Tasks'!P81:P178)</f>
        <v>Mumbai</v>
      </c>
      <c r="G81" s="8" t="str">
        <f>_xlfn.XLOOKUP(D81,'Cleaned Data'!D81:D178,'Cleaning Tasks'!Q81:Q178)</f>
        <v>Salary</v>
      </c>
      <c r="H81" s="48">
        <f>_xlfn.XLOOKUP(D81,'Cleaning Tasks'!D81:D178,'Cleaning Tasks'!H81:H178)</f>
        <v>76000</v>
      </c>
      <c r="I81" s="8" t="str">
        <f>_xlfn.XLOOKUP(D81,'Cleaning Tasks'!D81:D178,'Cleaning Tasks'!R81:R178)</f>
        <v>Groceries</v>
      </c>
      <c r="J81" s="8">
        <v>6800</v>
      </c>
      <c r="K81" s="8" t="s">
        <v>52</v>
      </c>
      <c r="L81" s="48">
        <v>14000</v>
      </c>
      <c r="M81" s="8">
        <f>_xlfn.XLOOKUP(D81,'Cleaning Tasks'!D81:D178,'Cleaning Tasks'!S81:S178)</f>
        <v>4000</v>
      </c>
      <c r="N81" s="8">
        <v>739</v>
      </c>
      <c r="O81" s="8" t="s">
        <v>53</v>
      </c>
    </row>
    <row r="82" spans="1:15" ht="15" customHeight="1" x14ac:dyDescent="0.25">
      <c r="A82" s="8" t="s">
        <v>247</v>
      </c>
      <c r="B82" s="9">
        <v>45712</v>
      </c>
      <c r="C82" s="8" t="s">
        <v>84</v>
      </c>
      <c r="D82" s="8" t="s">
        <v>248</v>
      </c>
      <c r="E82" s="8">
        <v>27</v>
      </c>
      <c r="F82" s="8" t="str">
        <f>_xlfn.XLOOKUP(D82,'Cleaning Tasks'!D82:D179,'Cleaning Tasks'!P82:P179)</f>
        <v>Kolkata</v>
      </c>
      <c r="G82" s="8" t="str">
        <f>_xlfn.XLOOKUP(D82,'Cleaned Data'!D82:D179,'Cleaning Tasks'!Q82:Q179)</f>
        <v>Salary</v>
      </c>
      <c r="H82" s="48">
        <f>_xlfn.XLOOKUP(D82,'Cleaning Tasks'!D82:D179,'Cleaning Tasks'!H82:H179)</f>
        <v>61000</v>
      </c>
      <c r="I82" s="8" t="str">
        <f>_xlfn.XLOOKUP(D82,'Cleaning Tasks'!D82:D179,'Cleaning Tasks'!R82:R179)</f>
        <v>Rent</v>
      </c>
      <c r="J82" s="8">
        <v>17500</v>
      </c>
      <c r="K82" s="8" t="s">
        <v>44</v>
      </c>
      <c r="L82" s="48">
        <v>10000</v>
      </c>
      <c r="M82" s="8">
        <f>_xlfn.XLOOKUP(D82,'Cleaning Tasks'!D82:D179,'Cleaning Tasks'!S82:S179)</f>
        <v>3500</v>
      </c>
      <c r="N82" s="8">
        <v>714</v>
      </c>
      <c r="O82" s="8" t="s">
        <v>45</v>
      </c>
    </row>
    <row r="83" spans="1:15" ht="15" customHeight="1" x14ac:dyDescent="0.25">
      <c r="A83" s="8" t="s">
        <v>249</v>
      </c>
      <c r="B83" s="9">
        <v>45713</v>
      </c>
      <c r="C83" s="8" t="s">
        <v>89</v>
      </c>
      <c r="D83" s="8" t="s">
        <v>250</v>
      </c>
      <c r="E83" s="8">
        <v>33</v>
      </c>
      <c r="F83" s="8" t="str">
        <f>_xlfn.XLOOKUP(D83,'Cleaning Tasks'!D83:D180,'Cleaning Tasks'!P83:P180)</f>
        <v>Delhi</v>
      </c>
      <c r="G83" s="8" t="str">
        <f>_xlfn.XLOOKUP(D83,'Cleaned Data'!D83:D180,'Cleaning Tasks'!Q83:Q180)</f>
        <v>Salary</v>
      </c>
      <c r="H83" s="48">
        <f>_xlfn.XLOOKUP(D83,'Cleaning Tasks'!D83:D180,'Cleaning Tasks'!H83:H180)</f>
        <v>85000</v>
      </c>
      <c r="I83" s="8" t="str">
        <f>_xlfn.XLOOKUP(D83,'Cleaning Tasks'!D83:D180,'Cleaning Tasks'!R83:R180)</f>
        <v>Healthcare</v>
      </c>
      <c r="J83" s="8">
        <v>5200</v>
      </c>
      <c r="K83" s="8" t="s">
        <v>65</v>
      </c>
      <c r="L83" s="48">
        <v>18000</v>
      </c>
      <c r="M83" s="8">
        <f>_xlfn.XLOOKUP(D83,'Cleaning Tasks'!D83:D180,'Cleaning Tasks'!S83:S180)</f>
        <v>8000</v>
      </c>
      <c r="N83" s="8">
        <v>748</v>
      </c>
      <c r="O83" s="8" t="s">
        <v>53</v>
      </c>
    </row>
    <row r="84" spans="1:15" ht="15" customHeight="1" x14ac:dyDescent="0.25">
      <c r="A84" s="8" t="s">
        <v>251</v>
      </c>
      <c r="B84" s="9">
        <v>45714</v>
      </c>
      <c r="C84" s="8" t="s">
        <v>93</v>
      </c>
      <c r="D84" s="8" t="s">
        <v>252</v>
      </c>
      <c r="E84" s="8">
        <v>24</v>
      </c>
      <c r="F84" s="8" t="str">
        <f>_xlfn.XLOOKUP(D84,'Cleaning Tasks'!D84:D181,'Cleaning Tasks'!P84:P181)</f>
        <v>Kolkata</v>
      </c>
      <c r="G84" s="8" t="str">
        <f>_xlfn.XLOOKUP(D84,'Cleaned Data'!D84:D181,'Cleaning Tasks'!Q84:Q181)</f>
        <v>Internship</v>
      </c>
      <c r="H84" s="48">
        <f>_xlfn.XLOOKUP(D84,'Cleaning Tasks'!D84:D181,'Cleaning Tasks'!H84:H181)</f>
        <v>27000</v>
      </c>
      <c r="I84" s="8" t="str">
        <f>_xlfn.XLOOKUP(D84,'Cleaning Tasks'!D84:D181,'Cleaning Tasks'!R84:R181)</f>
        <v>Food</v>
      </c>
      <c r="J84" s="8">
        <v>3900</v>
      </c>
      <c r="K84" s="8" t="s">
        <v>57</v>
      </c>
      <c r="L84" s="48">
        <v>2500</v>
      </c>
      <c r="M84" s="8">
        <f>_xlfn.XLOOKUP(D84,'Cleaning Tasks'!D84:D181,'Cleaning Tasks'!S84:S181)</f>
        <v>0</v>
      </c>
      <c r="N84" s="8">
        <v>671</v>
      </c>
      <c r="O84" s="8" t="s">
        <v>58</v>
      </c>
    </row>
    <row r="85" spans="1:15" ht="15" customHeight="1" x14ac:dyDescent="0.25">
      <c r="A85" s="8" t="s">
        <v>253</v>
      </c>
      <c r="B85" s="9">
        <v>45715</v>
      </c>
      <c r="C85" s="8" t="s">
        <v>98</v>
      </c>
      <c r="D85" s="8" t="s">
        <v>254</v>
      </c>
      <c r="E85" s="8">
        <v>39</v>
      </c>
      <c r="F85" s="8" t="str">
        <f>_xlfn.XLOOKUP(D85,'Cleaning Tasks'!D85:D182,'Cleaning Tasks'!P85:P182)</f>
        <v>Chandigarh</v>
      </c>
      <c r="G85" s="8" t="str">
        <f>_xlfn.XLOOKUP(D85,'Cleaned Data'!D85:D182,'Cleaning Tasks'!Q85:Q182)</f>
        <v>Unknown</v>
      </c>
      <c r="H85" s="48">
        <f>_xlfn.XLOOKUP(D85,'Cleaning Tasks'!D85:D182,'Cleaning Tasks'!H85:H182)</f>
        <v>126000</v>
      </c>
      <c r="I85" s="8" t="str">
        <f>_xlfn.XLOOKUP(D85,'Cleaning Tasks'!D85:D182,'Cleaning Tasks'!R85:R182)</f>
        <v>Travel</v>
      </c>
      <c r="J85" s="8">
        <v>11200</v>
      </c>
      <c r="K85" s="8" t="s">
        <v>52</v>
      </c>
      <c r="L85" s="48">
        <v>32000</v>
      </c>
      <c r="M85" s="8">
        <f>_xlfn.XLOOKUP(D85,'Cleaning Tasks'!D85:D182,'Cleaning Tasks'!S85:S182)</f>
        <v>15000</v>
      </c>
      <c r="N85" s="8">
        <v>791</v>
      </c>
      <c r="O85" s="8" t="s">
        <v>66</v>
      </c>
    </row>
    <row r="86" spans="1:15" ht="15" customHeight="1" x14ac:dyDescent="0.25">
      <c r="A86" s="8" t="s">
        <v>255</v>
      </c>
      <c r="B86" s="9">
        <v>45716</v>
      </c>
      <c r="C86" s="8" t="s">
        <v>102</v>
      </c>
      <c r="D86" s="8" t="s">
        <v>256</v>
      </c>
      <c r="E86" s="8">
        <v>29</v>
      </c>
      <c r="F86" s="8" t="str">
        <f>_xlfn.XLOOKUP(D86,'Cleaning Tasks'!D86:D183,'Cleaning Tasks'!P86:P183)</f>
        <v>Jaipur</v>
      </c>
      <c r="G86" s="8" t="str">
        <f>_xlfn.XLOOKUP(D86,'Cleaned Data'!D86:D183,'Cleaning Tasks'!Q86:Q183)</f>
        <v>Salary</v>
      </c>
      <c r="H86" s="48">
        <f>_xlfn.XLOOKUP(D86,'Cleaning Tasks'!D86:D183,'Cleaning Tasks'!H86:H183)</f>
        <v>68000</v>
      </c>
      <c r="I86" s="8" t="str">
        <f>_xlfn.XLOOKUP(D86,'Cleaning Tasks'!D86:D183,'Cleaning Tasks'!R86:R183)</f>
        <v>Shopping</v>
      </c>
      <c r="J86" s="8">
        <v>7200</v>
      </c>
      <c r="K86" s="8" t="s">
        <v>44</v>
      </c>
      <c r="L86" s="48">
        <v>12000</v>
      </c>
      <c r="M86" s="8">
        <f>_xlfn.XLOOKUP(D86,'Cleaning Tasks'!D86:D183,'Cleaning Tasks'!S86:S183)</f>
        <v>2500</v>
      </c>
      <c r="N86" s="8">
        <v>733</v>
      </c>
      <c r="O86" s="8" t="s">
        <v>53</v>
      </c>
    </row>
    <row r="87" spans="1:15" ht="15" customHeight="1" x14ac:dyDescent="0.25">
      <c r="A87" s="8" t="s">
        <v>257</v>
      </c>
      <c r="B87" s="9">
        <v>45717</v>
      </c>
      <c r="C87" s="8" t="s">
        <v>39</v>
      </c>
      <c r="D87" s="8" t="s">
        <v>258</v>
      </c>
      <c r="E87" s="8">
        <v>36</v>
      </c>
      <c r="F87" s="8" t="str">
        <f>_xlfn.XLOOKUP(D87,'Cleaning Tasks'!D87:D184,'Cleaning Tasks'!P87:P184)</f>
        <v>Kolkata</v>
      </c>
      <c r="G87" s="8" t="str">
        <f>_xlfn.XLOOKUP(D87,'Cleaned Data'!D87:D184,'Cleaning Tasks'!Q87:Q184)</f>
        <v>Salary</v>
      </c>
      <c r="H87" s="48">
        <f>_xlfn.XLOOKUP(D87,'Cleaning Tasks'!D87:D184,'Cleaning Tasks'!H87:H184)</f>
        <v>79000</v>
      </c>
      <c r="I87" s="8" t="str">
        <f>_xlfn.XLOOKUP(D87,'Cleaning Tasks'!D87:D184,'Cleaning Tasks'!R87:R184)</f>
        <v>Utilities</v>
      </c>
      <c r="J87" s="8">
        <v>6100</v>
      </c>
      <c r="K87" s="8" t="s">
        <v>52</v>
      </c>
      <c r="L87" s="48">
        <v>17000</v>
      </c>
      <c r="M87" s="8">
        <f>_xlfn.XLOOKUP(D87,'Cleaning Tasks'!D87:D184,'Cleaning Tasks'!S87:S184)</f>
        <v>6500</v>
      </c>
      <c r="N87" s="8">
        <v>742</v>
      </c>
      <c r="O87" s="8" t="s">
        <v>53</v>
      </c>
    </row>
    <row r="88" spans="1:15" ht="15" customHeight="1" x14ac:dyDescent="0.25">
      <c r="A88" s="8" t="s">
        <v>259</v>
      </c>
      <c r="B88" s="9">
        <v>45718</v>
      </c>
      <c r="C88" s="8" t="s">
        <v>47</v>
      </c>
      <c r="D88" s="8" t="s">
        <v>260</v>
      </c>
      <c r="E88" s="8">
        <v>25</v>
      </c>
      <c r="F88" s="8" t="str">
        <f>_xlfn.XLOOKUP(D88,'Cleaning Tasks'!D88:D185,'Cleaning Tasks'!P88:P185)</f>
        <v>Pune</v>
      </c>
      <c r="G88" s="8" t="str">
        <f>_xlfn.XLOOKUP(D88,'Cleaned Data'!D88:D185,'Cleaning Tasks'!Q88:Q185)</f>
        <v>Freelancing</v>
      </c>
      <c r="H88" s="48">
        <f>_xlfn.XLOOKUP(D88,'Cleaning Tasks'!D88:D185,'Cleaning Tasks'!H88:H185)</f>
        <v>49000</v>
      </c>
      <c r="I88" s="8" t="str">
        <f>_xlfn.XLOOKUP(D88,'Cleaning Tasks'!D88:D185,'Cleaning Tasks'!R88:R185)</f>
        <v>Entertainment</v>
      </c>
      <c r="J88" s="8">
        <v>4700</v>
      </c>
      <c r="K88" s="8" t="s">
        <v>293</v>
      </c>
      <c r="L88" s="48">
        <v>6000</v>
      </c>
      <c r="M88" s="8">
        <f>_xlfn.XLOOKUP(D88,'Cleaning Tasks'!D88:D185,'Cleaning Tasks'!S88:S185)</f>
        <v>8000</v>
      </c>
      <c r="N88" s="8">
        <v>687</v>
      </c>
      <c r="O88" s="8" t="s">
        <v>58</v>
      </c>
    </row>
    <row r="89" spans="1:15" ht="15" customHeight="1" x14ac:dyDescent="0.25">
      <c r="A89" s="8" t="s">
        <v>261</v>
      </c>
      <c r="B89" s="9">
        <v>45719</v>
      </c>
      <c r="C89" s="8" t="s">
        <v>55</v>
      </c>
      <c r="D89" s="8" t="s">
        <v>262</v>
      </c>
      <c r="E89" s="8">
        <v>42</v>
      </c>
      <c r="F89" s="8" t="str">
        <f>_xlfn.XLOOKUP(D89,'Cleaning Tasks'!D89:D186,'Cleaning Tasks'!P89:P186)</f>
        <v>Patna</v>
      </c>
      <c r="G89" s="8" t="str">
        <f>_xlfn.XLOOKUP(D89,'Cleaned Data'!D89:D186,'Cleaning Tasks'!Q89:Q186)</f>
        <v>Business</v>
      </c>
      <c r="H89" s="48">
        <f>_xlfn.XLOOKUP(D89,'Cleaning Tasks'!D89:D186,'Cleaning Tasks'!H89:H186)</f>
        <v>146000</v>
      </c>
      <c r="I89" s="8" t="str">
        <f>_xlfn.XLOOKUP(D89,'Cleaning Tasks'!D89:D186,'Cleaning Tasks'!R89:R186)</f>
        <v>Investment</v>
      </c>
      <c r="J89" s="8">
        <v>39000</v>
      </c>
      <c r="K89" s="8" t="s">
        <v>82</v>
      </c>
      <c r="L89" s="48">
        <v>47000</v>
      </c>
      <c r="M89" s="8">
        <f>_xlfn.XLOOKUP(D89,'Cleaning Tasks'!D89:D186,'Cleaning Tasks'!S89:S186)</f>
        <v>21000</v>
      </c>
      <c r="N89" s="8">
        <v>809</v>
      </c>
      <c r="O89" s="8" t="s">
        <v>66</v>
      </c>
    </row>
    <row r="90" spans="1:15" ht="15" customHeight="1" x14ac:dyDescent="0.25">
      <c r="A90" s="8" t="s">
        <v>263</v>
      </c>
      <c r="B90" s="9">
        <v>45720</v>
      </c>
      <c r="C90" s="8" t="s">
        <v>60</v>
      </c>
      <c r="D90" s="8" t="s">
        <v>264</v>
      </c>
      <c r="E90" s="8">
        <v>31</v>
      </c>
      <c r="F90" s="8" t="str">
        <f>_xlfn.XLOOKUP(D90,'Cleaning Tasks'!D90:D187,'Cleaning Tasks'!P90:P187)</f>
        <v>Kolkata</v>
      </c>
      <c r="G90" s="8" t="str">
        <f>_xlfn.XLOOKUP(D90,'Cleaned Data'!D90:D187,'Cleaning Tasks'!Q90:Q187)</f>
        <v>Salary</v>
      </c>
      <c r="H90" s="48">
        <f>_xlfn.XLOOKUP(D90,'Cleaning Tasks'!D90:D187,'Cleaning Tasks'!H90:H187)</f>
        <v>71000</v>
      </c>
      <c r="I90" s="8" t="str">
        <f>_xlfn.XLOOKUP(D90,'Cleaning Tasks'!D90:D187,'Cleaning Tasks'!R90:R187)</f>
        <v>Healthcare</v>
      </c>
      <c r="J90" s="8">
        <v>4500</v>
      </c>
      <c r="K90" s="8" t="s">
        <v>44</v>
      </c>
      <c r="L90" s="48">
        <v>14000</v>
      </c>
      <c r="M90" s="8">
        <f>_xlfn.XLOOKUP(D90,'Cleaning Tasks'!D90:D187,'Cleaning Tasks'!S90:S187)</f>
        <v>3500</v>
      </c>
      <c r="N90" s="8">
        <v>737</v>
      </c>
      <c r="O90" s="8" t="s">
        <v>53</v>
      </c>
    </row>
    <row r="91" spans="1:15" ht="15" customHeight="1" x14ac:dyDescent="0.25">
      <c r="A91" s="8" t="s">
        <v>265</v>
      </c>
      <c r="B91" s="9">
        <v>45721</v>
      </c>
      <c r="C91" s="8" t="s">
        <v>68</v>
      </c>
      <c r="D91" s="8" t="s">
        <v>266</v>
      </c>
      <c r="E91" s="8">
        <v>28</v>
      </c>
      <c r="F91" s="8" t="str">
        <f>_xlfn.XLOOKUP(D91,'Cleaning Tasks'!D91:D188,'Cleaning Tasks'!P91:P188)</f>
        <v>Unknown</v>
      </c>
      <c r="G91" s="8" t="str">
        <f>_xlfn.XLOOKUP(D91,'Cleaned Data'!D91:D188,'Cleaning Tasks'!Q91:Q188)</f>
        <v>Salary</v>
      </c>
      <c r="H91" s="48">
        <f>_xlfn.XLOOKUP(D91,'Cleaning Tasks'!D91:D188,'Cleaning Tasks'!H91:H188)</f>
        <v>64000</v>
      </c>
      <c r="I91" s="8" t="str">
        <f>_xlfn.XLOOKUP(D91,'Cleaning Tasks'!D91:D188,'Cleaning Tasks'!R91:R188)</f>
        <v>Transport</v>
      </c>
      <c r="J91" s="8">
        <v>5100</v>
      </c>
      <c r="K91" s="8" t="s">
        <v>57</v>
      </c>
      <c r="L91" s="48">
        <v>11000</v>
      </c>
      <c r="M91" s="8">
        <f>_xlfn.XLOOKUP(D91,'Cleaning Tasks'!D91:D188,'Cleaning Tasks'!S91:S188)</f>
        <v>4000</v>
      </c>
      <c r="N91" s="8">
        <v>716</v>
      </c>
      <c r="O91" s="8" t="s">
        <v>45</v>
      </c>
    </row>
    <row r="92" spans="1:15" ht="15" customHeight="1" x14ac:dyDescent="0.25">
      <c r="A92" s="8" t="s">
        <v>267</v>
      </c>
      <c r="B92" s="9">
        <v>45722</v>
      </c>
      <c r="C92" s="8" t="s">
        <v>74</v>
      </c>
      <c r="D92" s="8" t="s">
        <v>268</v>
      </c>
      <c r="E92" s="8">
        <v>27</v>
      </c>
      <c r="F92" s="8" t="str">
        <f>_xlfn.XLOOKUP(D92,'Cleaning Tasks'!D92:D189,'Cleaning Tasks'!P92:P189)</f>
        <v>Kolkata</v>
      </c>
      <c r="G92" s="8" t="str">
        <f>_xlfn.XLOOKUP(D92,'Cleaned Data'!D92:D189,'Cleaning Tasks'!Q92:Q189)</f>
        <v>Freelancing</v>
      </c>
      <c r="H92" s="48">
        <f>_xlfn.XLOOKUP(D92,'Cleaning Tasks'!D92:D189,'Cleaning Tasks'!H92:H189)</f>
        <v>54000</v>
      </c>
      <c r="I92" s="8" t="str">
        <f>_xlfn.XLOOKUP(D92,'Cleaning Tasks'!D92:D189,'Cleaning Tasks'!R92:R189)</f>
        <v>Food</v>
      </c>
      <c r="J92" s="8">
        <v>5900</v>
      </c>
      <c r="K92" s="8" t="s">
        <v>52</v>
      </c>
      <c r="L92" s="48">
        <v>7000</v>
      </c>
      <c r="M92" s="8">
        <f>_xlfn.XLOOKUP(D92,'Cleaning Tasks'!D92:D189,'Cleaning Tasks'!S92:S189)</f>
        <v>0</v>
      </c>
      <c r="N92" s="8">
        <v>697</v>
      </c>
      <c r="O92" s="8" t="s">
        <v>58</v>
      </c>
    </row>
    <row r="93" spans="1:15" ht="15" customHeight="1" x14ac:dyDescent="0.25">
      <c r="A93" s="8" t="s">
        <v>269</v>
      </c>
      <c r="B93" s="9">
        <v>45723</v>
      </c>
      <c r="C93" s="8" t="s">
        <v>79</v>
      </c>
      <c r="D93" s="8" t="s">
        <v>270</v>
      </c>
      <c r="E93" s="8">
        <v>44</v>
      </c>
      <c r="F93" s="8" t="str">
        <f>_xlfn.XLOOKUP(D93,'Cleaning Tasks'!D93:D190,'Cleaning Tasks'!P93:P190)</f>
        <v>Mumbai</v>
      </c>
      <c r="G93" s="8" t="str">
        <f>_xlfn.XLOOKUP(D93,'Cleaned Data'!D93:D190,'Cleaning Tasks'!Q93:Q190)</f>
        <v>Business</v>
      </c>
      <c r="H93" s="48">
        <f>_xlfn.XLOOKUP(D93,'Cleaning Tasks'!D93:D190,'Cleaning Tasks'!H93:H190)</f>
        <v>152000</v>
      </c>
      <c r="I93" s="8" t="str">
        <f>_xlfn.XLOOKUP(D93,'Cleaning Tasks'!D93:D190,'Cleaning Tasks'!R93:R190)</f>
        <v>Rent</v>
      </c>
      <c r="J93" s="8">
        <v>36000</v>
      </c>
      <c r="K93" s="8" t="s">
        <v>65</v>
      </c>
      <c r="L93" s="48">
        <v>52000</v>
      </c>
      <c r="M93" s="8">
        <f>_xlfn.XLOOKUP(D93,'Cleaning Tasks'!D93:D190,'Cleaning Tasks'!S93:S190)</f>
        <v>24000</v>
      </c>
      <c r="N93" s="8">
        <v>818</v>
      </c>
      <c r="O93" s="8" t="s">
        <v>66</v>
      </c>
    </row>
    <row r="94" spans="1:15" ht="15" customHeight="1" x14ac:dyDescent="0.25">
      <c r="A94" s="8" t="s">
        <v>271</v>
      </c>
      <c r="B94" s="9">
        <v>45724</v>
      </c>
      <c r="C94" s="8" t="s">
        <v>84</v>
      </c>
      <c r="D94" s="8" t="s">
        <v>272</v>
      </c>
      <c r="E94" s="8">
        <v>30</v>
      </c>
      <c r="F94" s="8" t="str">
        <f>_xlfn.XLOOKUP(D94,'Cleaning Tasks'!D94:D191,'Cleaning Tasks'!P94:P191)</f>
        <v>Delhi</v>
      </c>
      <c r="G94" s="8" t="str">
        <f>_xlfn.XLOOKUP(D94,'Cleaned Data'!D94:D191,'Cleaning Tasks'!Q94:Q191)</f>
        <v>Unknown</v>
      </c>
      <c r="H94" s="48">
        <f>_xlfn.XLOOKUP(D94,'Cleaning Tasks'!D94:D191,'Cleaning Tasks'!H94:H191)</f>
        <v>73000</v>
      </c>
      <c r="I94" s="8" t="str">
        <f>_xlfn.XLOOKUP(D94,'Cleaning Tasks'!D94:D191,'Cleaning Tasks'!R94:R191)</f>
        <v>Shopping</v>
      </c>
      <c r="J94" s="8">
        <v>8400</v>
      </c>
      <c r="K94" s="8" t="s">
        <v>44</v>
      </c>
      <c r="L94" s="48">
        <v>13000</v>
      </c>
      <c r="M94" s="8">
        <f>_xlfn.XLOOKUP(D94,'Cleaning Tasks'!D94:D191,'Cleaning Tasks'!S94:S191)</f>
        <v>5000</v>
      </c>
      <c r="N94" s="8">
        <v>729</v>
      </c>
      <c r="O94" s="8" t="s">
        <v>53</v>
      </c>
    </row>
    <row r="95" spans="1:15" ht="15" customHeight="1" x14ac:dyDescent="0.25">
      <c r="A95" s="8" t="s">
        <v>273</v>
      </c>
      <c r="B95" s="9">
        <v>45725</v>
      </c>
      <c r="C95" s="8" t="s">
        <v>89</v>
      </c>
      <c r="D95" s="8" t="s">
        <v>274</v>
      </c>
      <c r="E95" s="8">
        <v>35</v>
      </c>
      <c r="F95" s="8" t="str">
        <f>_xlfn.XLOOKUP(D95,'Cleaning Tasks'!D95:D192,'Cleaning Tasks'!P95:P192)</f>
        <v>Kolkata</v>
      </c>
      <c r="G95" s="8" t="str">
        <f>_xlfn.XLOOKUP(D95,'Cleaned Data'!D95:D192,'Cleaning Tasks'!Q95:Q192)</f>
        <v>Salary</v>
      </c>
      <c r="H95" s="48">
        <f>_xlfn.XLOOKUP(D95,'Cleaning Tasks'!D95:D192,'Cleaning Tasks'!H95:H192)</f>
        <v>82000</v>
      </c>
      <c r="I95" s="8" t="str">
        <f>_xlfn.XLOOKUP(D95,'Cleaning Tasks'!D95:D192,'Cleaning Tasks'!R95:R192)</f>
        <v>Travel</v>
      </c>
      <c r="J95" s="8">
        <v>9800</v>
      </c>
      <c r="K95" s="8" t="s">
        <v>52</v>
      </c>
      <c r="L95" s="48">
        <v>19000</v>
      </c>
      <c r="M95" s="8">
        <f>_xlfn.XLOOKUP(D95,'Cleaning Tasks'!D95:D192,'Cleaning Tasks'!S95:S192)</f>
        <v>9000</v>
      </c>
      <c r="N95" s="8">
        <v>745</v>
      </c>
      <c r="O95" s="8" t="s">
        <v>53</v>
      </c>
    </row>
    <row r="96" spans="1:15" ht="15" customHeight="1" x14ac:dyDescent="0.25">
      <c r="A96" s="8" t="s">
        <v>275</v>
      </c>
      <c r="B96" s="9">
        <v>45726</v>
      </c>
      <c r="C96" s="8" t="s">
        <v>93</v>
      </c>
      <c r="D96" s="8" t="s">
        <v>276</v>
      </c>
      <c r="E96" s="8">
        <v>26</v>
      </c>
      <c r="F96" s="8" t="str">
        <f>_xlfn.XLOOKUP(D96,'Cleaning Tasks'!D96:D193,'Cleaning Tasks'!P96:P193)</f>
        <v>Kochi</v>
      </c>
      <c r="G96" s="8" t="str">
        <f>_xlfn.XLOOKUP(D96,'Cleaned Data'!D96:D193,'Cleaning Tasks'!Q96:Q193)</f>
        <v>Freelancing</v>
      </c>
      <c r="H96" s="48">
        <f>_xlfn.XLOOKUP(D96,'Cleaning Tasks'!D96:D193,'Cleaning Tasks'!H96:H193)</f>
        <v>51000</v>
      </c>
      <c r="I96" s="8" t="str">
        <f>_xlfn.XLOOKUP(D96,'Cleaning Tasks'!D96:D193,'Cleaning Tasks'!R96:R193)</f>
        <v>Unknown</v>
      </c>
      <c r="J96" s="8">
        <v>4300</v>
      </c>
      <c r="K96" s="8" t="s">
        <v>44</v>
      </c>
      <c r="L96" s="48">
        <v>6500</v>
      </c>
      <c r="M96" s="8">
        <f>_xlfn.XLOOKUP(D96,'Cleaning Tasks'!D96:D193,'Cleaning Tasks'!S96:S193)</f>
        <v>7000</v>
      </c>
      <c r="N96" s="8">
        <v>692</v>
      </c>
      <c r="O96" s="8" t="s">
        <v>58</v>
      </c>
    </row>
    <row r="97" spans="1:15" ht="15" customHeight="1" x14ac:dyDescent="0.25">
      <c r="A97" s="8" t="s">
        <v>277</v>
      </c>
      <c r="B97" s="9">
        <v>45727</v>
      </c>
      <c r="C97" s="8" t="s">
        <v>98</v>
      </c>
      <c r="D97" s="8" t="s">
        <v>278</v>
      </c>
      <c r="E97" s="8">
        <v>41</v>
      </c>
      <c r="F97" s="8" t="str">
        <f>_xlfn.XLOOKUP(D97,'Cleaning Tasks'!D97:D194,'Cleaning Tasks'!P97:P194)</f>
        <v>Ahmedabad</v>
      </c>
      <c r="G97" s="8" t="str">
        <f>_xlfn.XLOOKUP(D97,'Cleaned Data'!D97:D194,'Cleaning Tasks'!Q97:Q194)</f>
        <v>Business</v>
      </c>
      <c r="H97" s="48">
        <f>_xlfn.XLOOKUP(D97,'Cleaning Tasks'!D97:D194,'Cleaning Tasks'!H97:H194)</f>
        <v>129000</v>
      </c>
      <c r="I97" s="8" t="str">
        <f>_xlfn.XLOOKUP(D97,'Cleaning Tasks'!D97:D194,'Cleaning Tasks'!R97:R194)</f>
        <v>Investment</v>
      </c>
      <c r="J97" s="8">
        <v>30000</v>
      </c>
      <c r="K97" s="8" t="s">
        <v>82</v>
      </c>
      <c r="L97" s="48">
        <v>36000</v>
      </c>
      <c r="M97" s="8">
        <f>_xlfn.XLOOKUP(D97,'Cleaning Tasks'!D97:D194,'Cleaning Tasks'!S97:S194)</f>
        <v>16000</v>
      </c>
      <c r="N97" s="8">
        <v>796</v>
      </c>
      <c r="O97" s="8" t="s">
        <v>66</v>
      </c>
    </row>
    <row r="98" spans="1:15" ht="15" customHeight="1" x14ac:dyDescent="0.25">
      <c r="A98" s="8" t="s">
        <v>279</v>
      </c>
      <c r="B98" s="9">
        <v>45728</v>
      </c>
      <c r="C98" s="8" t="s">
        <v>102</v>
      </c>
      <c r="D98" s="8" t="s">
        <v>280</v>
      </c>
      <c r="E98" s="8">
        <v>32</v>
      </c>
      <c r="F98" s="8" t="str">
        <f>_xlfn.XLOOKUP(D98,'Cleaning Tasks'!D98:D195,'Cleaning Tasks'!P98:P195)</f>
        <v>Kolkata</v>
      </c>
      <c r="G98" s="8" t="str">
        <f>_xlfn.XLOOKUP(D98,'Cleaned Data'!D98:D195,'Cleaning Tasks'!Q98:Q195)</f>
        <v>Salary</v>
      </c>
      <c r="H98" s="48">
        <f>_xlfn.XLOOKUP(D98,'Cleaning Tasks'!D98:D195,'Cleaning Tasks'!H98:H195)</f>
        <v>69000</v>
      </c>
      <c r="I98" s="8" t="str">
        <f>_xlfn.XLOOKUP(D98,'Cleaning Tasks'!D98:D195,'Cleaning Tasks'!R98:R195)</f>
        <v>Groceries</v>
      </c>
      <c r="J98" s="8">
        <v>6700</v>
      </c>
      <c r="K98" s="8" t="s">
        <v>52</v>
      </c>
      <c r="L98" s="48">
        <v>12500</v>
      </c>
      <c r="M98" s="8">
        <f>_xlfn.XLOOKUP(D98,'Cleaning Tasks'!D98:D195,'Cleaning Tasks'!S98:S195)</f>
        <v>3000</v>
      </c>
      <c r="N98" s="8">
        <v>734</v>
      </c>
      <c r="O98" s="8" t="s">
        <v>53</v>
      </c>
    </row>
    <row r="99" spans="1:15" ht="15" customHeight="1" x14ac:dyDescent="0.25">
      <c r="A99" s="8" t="s">
        <v>281</v>
      </c>
      <c r="B99" s="9">
        <v>45729</v>
      </c>
      <c r="C99" s="8" t="s">
        <v>39</v>
      </c>
      <c r="D99" s="8" t="s">
        <v>282</v>
      </c>
      <c r="E99" s="8">
        <v>29</v>
      </c>
      <c r="F99" s="8" t="str">
        <f>_xlfn.XLOOKUP(D99,'Cleaning Tasks'!D99:D196,'Cleaning Tasks'!P99:P196)</f>
        <v>Delhi</v>
      </c>
      <c r="G99" s="8" t="str">
        <f>_xlfn.XLOOKUP(D99,'Cleaned Data'!D99:D196,'Cleaning Tasks'!Q99:Q196)</f>
        <v>Salary</v>
      </c>
      <c r="H99" s="48">
        <f>_xlfn.XLOOKUP(D99,'Cleaning Tasks'!D99:D196,'Cleaning Tasks'!H99:H196)</f>
        <v>66000</v>
      </c>
      <c r="I99" s="8" t="str">
        <f>_xlfn.XLOOKUP(D99,'Cleaning Tasks'!D99:D196,'Cleaning Tasks'!R99:R196)</f>
        <v>Rent</v>
      </c>
      <c r="J99" s="8">
        <v>20000</v>
      </c>
      <c r="K99" s="8" t="s">
        <v>44</v>
      </c>
      <c r="L99" s="48">
        <v>9000</v>
      </c>
      <c r="M99" s="8">
        <f>_xlfn.XLOOKUP(D99,'Cleaning Tasks'!D99:D196,'Cleaning Tasks'!S99:S196)</f>
        <v>4500</v>
      </c>
      <c r="N99" s="8">
        <v>710</v>
      </c>
      <c r="O99" s="8" t="s">
        <v>45</v>
      </c>
    </row>
    <row r="100" spans="1:15" ht="15" customHeight="1" x14ac:dyDescent="0.25">
      <c r="A100" s="8" t="s">
        <v>283</v>
      </c>
      <c r="B100" s="9">
        <v>45730</v>
      </c>
      <c r="C100" s="8" t="s">
        <v>47</v>
      </c>
      <c r="D100" s="8" t="s">
        <v>284</v>
      </c>
      <c r="E100" s="8">
        <v>24</v>
      </c>
      <c r="F100" s="8" t="str">
        <f>_xlfn.XLOOKUP(D100,'Cleaning Tasks'!D100:D197,'Cleaning Tasks'!P100:P197)</f>
        <v>Unknown</v>
      </c>
      <c r="G100" s="8" t="str">
        <f>_xlfn.XLOOKUP(D100,'Cleaned Data'!D100:D197,'Cleaning Tasks'!Q100:Q197)</f>
        <v>Unknown</v>
      </c>
      <c r="H100" s="48">
        <f>_xlfn.XLOOKUP(D100,'Cleaning Tasks'!D100:D197,'Cleaning Tasks'!H100:H197)</f>
        <v>32000</v>
      </c>
      <c r="I100" s="8" t="str">
        <f>_xlfn.XLOOKUP(D100,'Cleaning Tasks'!D100:D197,'Cleaning Tasks'!R100:R197)</f>
        <v>Unknown</v>
      </c>
      <c r="J100" s="8">
        <v>3900</v>
      </c>
      <c r="K100" s="8" t="s">
        <v>293</v>
      </c>
      <c r="L100" s="48">
        <v>3500</v>
      </c>
      <c r="M100" s="8">
        <f>_xlfn.XLOOKUP(D100,'Cleaning Tasks'!D100:D197,'Cleaning Tasks'!S100:S197)</f>
        <v>0</v>
      </c>
      <c r="N100" s="8">
        <v>678</v>
      </c>
      <c r="O100" s="8" t="s">
        <v>58</v>
      </c>
    </row>
  </sheetData>
  <mergeCells count="1">
    <mergeCell ref="A1:O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U59"/>
  <sheetViews>
    <sheetView showGridLines="0" zoomScale="90" zoomScaleNormal="90" workbookViewId="0">
      <selection activeCell="G18" sqref="G18"/>
    </sheetView>
  </sheetViews>
  <sheetFormatPr defaultColWidth="8.7109375" defaultRowHeight="15" x14ac:dyDescent="0.25"/>
  <cols>
    <col min="1" max="1" width="17.85546875" style="1" bestFit="1" customWidth="1"/>
    <col min="2" max="2" width="11" style="1" customWidth="1"/>
    <col min="3" max="3" width="11.85546875" style="1" customWidth="1"/>
    <col min="4" max="4" width="11.7109375" style="1" customWidth="1"/>
    <col min="5" max="5" width="11.140625" style="1" customWidth="1"/>
    <col min="6" max="6" width="12.5703125" style="1" customWidth="1"/>
    <col min="7" max="8" width="12" style="1" customWidth="1"/>
    <col min="9" max="9" width="12.7109375" style="1" customWidth="1"/>
    <col min="10" max="10" width="13.42578125" style="1" customWidth="1"/>
    <col min="11" max="11" width="11.7109375" style="1" customWidth="1"/>
    <col min="12" max="12" width="13.5703125" style="1" customWidth="1"/>
    <col min="13" max="13" width="13.28515625" style="1" customWidth="1"/>
    <col min="14" max="14" width="21.85546875" style="1" bestFit="1" customWidth="1"/>
  </cols>
  <sheetData>
    <row r="1" spans="1:21" ht="45" customHeight="1" x14ac:dyDescent="0.25">
      <c r="A1" s="155" t="s">
        <v>294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95" t="s">
        <v>22</v>
      </c>
      <c r="O1" s="36"/>
      <c r="P1" s="36"/>
      <c r="Q1" s="36"/>
      <c r="R1" s="36"/>
      <c r="S1" s="36"/>
      <c r="T1" s="36"/>
      <c r="U1" s="36"/>
    </row>
    <row r="2" spans="1:21" ht="23.25" customHeight="1" x14ac:dyDescent="0.25">
      <c r="A2" s="154" t="s">
        <v>295</v>
      </c>
      <c r="B2" s="154"/>
      <c r="C2" s="154"/>
      <c r="D2" s="4"/>
      <c r="E2" s="4"/>
      <c r="F2" s="4"/>
      <c r="G2" s="4"/>
      <c r="H2" s="4"/>
      <c r="I2" s="4"/>
      <c r="J2" s="4"/>
      <c r="K2" s="4"/>
      <c r="L2" s="4"/>
      <c r="M2" s="4"/>
      <c r="N2" s="94"/>
      <c r="O2" s="4"/>
      <c r="P2" s="4"/>
      <c r="Q2" s="4"/>
      <c r="R2" s="5"/>
      <c r="S2" s="5"/>
      <c r="T2" s="5"/>
      <c r="U2" s="5"/>
    </row>
    <row r="3" spans="1:21" ht="24.75" customHeight="1" x14ac:dyDescent="0.25">
      <c r="A3" s="49" t="s">
        <v>29</v>
      </c>
      <c r="B3" s="49" t="s">
        <v>39</v>
      </c>
      <c r="C3" s="49" t="s">
        <v>47</v>
      </c>
      <c r="D3" s="49" t="s">
        <v>55</v>
      </c>
      <c r="E3" s="49" t="s">
        <v>60</v>
      </c>
      <c r="F3" s="49" t="s">
        <v>68</v>
      </c>
      <c r="G3" s="49" t="s">
        <v>74</v>
      </c>
      <c r="H3" s="49" t="s">
        <v>79</v>
      </c>
      <c r="I3" s="49" t="s">
        <v>84</v>
      </c>
      <c r="J3" s="49" t="s">
        <v>89</v>
      </c>
      <c r="K3" s="49" t="s">
        <v>93</v>
      </c>
      <c r="L3" s="49" t="s">
        <v>98</v>
      </c>
      <c r="M3" s="49" t="s">
        <v>102</v>
      </c>
      <c r="N3" s="49" t="s">
        <v>296</v>
      </c>
      <c r="O3" s="7"/>
      <c r="P3" s="3"/>
      <c r="Q3" s="3"/>
      <c r="R3" s="34"/>
      <c r="S3" s="34"/>
      <c r="T3" s="34"/>
      <c r="U3" s="34"/>
    </row>
    <row r="4" spans="1:21" ht="22.5" customHeight="1" x14ac:dyDescent="0.25">
      <c r="A4" s="50" t="str" cm="1">
        <f t="array" ref="A4:A9">_xlfn.UNIQUE('Cleaned Data'!G3:G100)</f>
        <v>Salary</v>
      </c>
      <c r="B4" s="51">
        <f>SUMIFS('Cleaned Data'!$H$3:$H$100,'Cleaned Data'!$G$3:$G$100,$A4,'Cleaned Data'!$C$3:$C$100,B$3)</f>
        <v>605000</v>
      </c>
      <c r="C4" s="51">
        <f>SUMIFS('Cleaned Data'!$H$3:$H$100,'Cleaned Data'!$G$3:$G$100,$A4,'Cleaned Data'!$C$3:$C$100,C$3)</f>
        <v>246000</v>
      </c>
      <c r="D4" s="51">
        <f>SUMIFS('Cleaned Data'!$H$3:$H$100,'Cleaned Data'!$G$3:$G$100,$A4,'Cleaned Data'!$C$3:$C$100,D$3)</f>
        <v>124000</v>
      </c>
      <c r="E4" s="51">
        <f>SUMIFS('Cleaned Data'!$H$3:$H$100,'Cleaned Data'!$G$3:$G$100,$A4,'Cleaned Data'!$C$3:$C$100,E$3)</f>
        <v>284000</v>
      </c>
      <c r="F4" s="51">
        <f>SUMIFS('Cleaned Data'!$H$3:$H$100,'Cleaned Data'!$G$3:$G$100,$A4,'Cleaned Data'!$C$3:$C$100,F$3)</f>
        <v>373000</v>
      </c>
      <c r="G4" s="51">
        <f>SUMIFS('Cleaned Data'!$H$3:$H$100,'Cleaned Data'!$G$3:$G$100,$A4,'Cleaned Data'!$C$3:$C$100,G$3)</f>
        <v>212000</v>
      </c>
      <c r="H4" s="51">
        <f>SUMIFS('Cleaned Data'!$H$3:$H$100,'Cleaned Data'!$G$3:$G$100,$A4,'Cleaned Data'!$C$3:$C$100,H$3)</f>
        <v>159000</v>
      </c>
      <c r="I4" s="51">
        <f>SUMIFS('Cleaned Data'!$H$3:$H$100,'Cleaned Data'!$G$3:$G$100,$A4,'Cleaned Data'!$C$3:$C$100,I$3)</f>
        <v>222000</v>
      </c>
      <c r="J4" s="51">
        <f>SUMIFS('Cleaned Data'!$H$3:$H$100,'Cleaned Data'!$G$3:$G$100,$A4,'Cleaned Data'!$C$3:$C$100,J$3)</f>
        <v>519000</v>
      </c>
      <c r="K4" s="51">
        <f>SUMIFS('Cleaned Data'!$H$3:$H$100,'Cleaned Data'!$G$3:$G$100,$A4,'Cleaned Data'!$C$3:$C$100,K$3)</f>
        <v>211000</v>
      </c>
      <c r="L4" s="54">
        <f>SUMIFS('Cleaned Data'!$H$3:$H$100,'Cleaned Data'!$G$3:$G$100,$A4,'Cleaned Data'!$C$3:$C$100,L$3)</f>
        <v>0</v>
      </c>
      <c r="M4" s="51">
        <f>SUMIFS('Cleaned Data'!$H$3:$H$100,'Cleaned Data'!$G$3:$G$100,$A4,'Cleaned Data'!$C$3:$C$100,M$3)</f>
        <v>280000</v>
      </c>
      <c r="N4" s="52">
        <f>SUM(B4:M4)</f>
        <v>3235000</v>
      </c>
      <c r="O4" s="7"/>
      <c r="P4" s="3"/>
      <c r="Q4" s="3"/>
      <c r="R4" s="34"/>
      <c r="S4" s="34"/>
      <c r="T4" s="34"/>
      <c r="U4" s="34"/>
    </row>
    <row r="5" spans="1:21" ht="21.75" customHeight="1" x14ac:dyDescent="0.25">
      <c r="A5" s="50" t="str">
        <v>Freelancing</v>
      </c>
      <c r="B5" s="54">
        <f>SUMIFS('Cleaned Data'!$H$3:$H$100,'Cleaned Data'!$G$3:$G$100,$A5,'Cleaned Data'!$C$3:$C$100,B$3)</f>
        <v>0</v>
      </c>
      <c r="C5" s="51">
        <f>SUMIFS('Cleaned Data'!$H$3:$H$100,'Cleaned Data'!$G$3:$G$100,$A5,'Cleaned Data'!$C$3:$C$100,C$3)</f>
        <v>168000</v>
      </c>
      <c r="D5" s="51">
        <f>SUMIFS('Cleaned Data'!$H$3:$H$100,'Cleaned Data'!$G$3:$G$100,$A5,'Cleaned Data'!$C$3:$C$100,D$3)</f>
        <v>109000</v>
      </c>
      <c r="E5" s="54">
        <f>SUMIFS('Cleaned Data'!$H$3:$H$100,'Cleaned Data'!$G$3:$G$100,$A5,'Cleaned Data'!$C$3:$C$100,E$3)</f>
        <v>0</v>
      </c>
      <c r="F5" s="51">
        <f>SUMIFS('Cleaned Data'!$H$3:$H$100,'Cleaned Data'!$G$3:$G$100,$A5,'Cleaned Data'!$C$3:$C$100,F$3)</f>
        <v>106000</v>
      </c>
      <c r="G5" s="51">
        <f>SUMIFS('Cleaned Data'!$H$3:$H$100,'Cleaned Data'!$G$3:$G$100,$A5,'Cleaned Data'!$C$3:$C$100,G$3)</f>
        <v>110000</v>
      </c>
      <c r="H5" s="51">
        <f>SUMIFS('Cleaned Data'!$H$3:$H$100,'Cleaned Data'!$G$3:$G$100,$A5,'Cleaned Data'!$C$3:$C$100,H$3)</f>
        <v>155000</v>
      </c>
      <c r="I5" s="54">
        <f>SUMIFS('Cleaned Data'!$H$3:$H$100,'Cleaned Data'!$G$3:$G$100,$A5,'Cleaned Data'!$C$3:$C$100,I$3)</f>
        <v>0</v>
      </c>
      <c r="J5" s="54">
        <f>SUMIFS('Cleaned Data'!$H$3:$H$100,'Cleaned Data'!$G$3:$G$100,$A5,'Cleaned Data'!$C$3:$C$100,J$3)</f>
        <v>0</v>
      </c>
      <c r="K5" s="51">
        <f>SUMIFS('Cleaned Data'!$H$3:$H$100,'Cleaned Data'!$G$3:$G$100,$A5,'Cleaned Data'!$C$3:$C$100,K$3)</f>
        <v>227000</v>
      </c>
      <c r="L5" s="51">
        <f>SUMIFS('Cleaned Data'!$H$3:$H$100,'Cleaned Data'!$G$3:$G$100,$A5,'Cleaned Data'!$C$3:$C$100,L$3)</f>
        <v>53000</v>
      </c>
      <c r="M5" s="51">
        <f>SUMIFS('Cleaned Data'!$H$3:$H$100,'Cleaned Data'!$G$3:$G$100,$A5,'Cleaned Data'!$C$3:$C$100,M$3)</f>
        <v>64000</v>
      </c>
      <c r="N5" s="52">
        <f t="shared" ref="N5:N9" si="0">SUM(B5:M5)</f>
        <v>992000</v>
      </c>
      <c r="O5" s="7"/>
      <c r="P5" s="3"/>
      <c r="Q5" s="3"/>
      <c r="R5" s="34"/>
      <c r="S5" s="34"/>
      <c r="T5" s="34"/>
      <c r="U5" s="34"/>
    </row>
    <row r="6" spans="1:21" ht="21.75" customHeight="1" x14ac:dyDescent="0.25">
      <c r="A6" s="50" t="str">
        <v>Business</v>
      </c>
      <c r="B6" s="54">
        <f>SUMIFS('Cleaned Data'!$H$3:$H$100,'Cleaned Data'!$G$3:$G$100,$A6,'Cleaned Data'!$C$3:$C$100,B$3)</f>
        <v>0</v>
      </c>
      <c r="C6" s="51">
        <f>SUMIFS('Cleaned Data'!$H$3:$H$100,'Cleaned Data'!$G$3:$G$100,$A6,'Cleaned Data'!$C$3:$C$100,C$3)</f>
        <v>155000</v>
      </c>
      <c r="D6" s="51">
        <f>SUMIFS('Cleaned Data'!$H$3:$H$100,'Cleaned Data'!$G$3:$G$100,$A6,'Cleaned Data'!$C$3:$C$100,D$3)</f>
        <v>278000</v>
      </c>
      <c r="E6" s="51">
        <f>SUMIFS('Cleaned Data'!$H$3:$H$100,'Cleaned Data'!$G$3:$G$100,$A6,'Cleaned Data'!$C$3:$C$100,E$3)</f>
        <v>533000</v>
      </c>
      <c r="F6" s="54">
        <f>SUMIFS('Cleaned Data'!$H$3:$H$100,'Cleaned Data'!$G$3:$G$100,$A6,'Cleaned Data'!$C$3:$C$100,F$3)</f>
        <v>0</v>
      </c>
      <c r="G6" s="51">
        <f>SUMIFS('Cleaned Data'!$H$3:$H$100,'Cleaned Data'!$G$3:$G$100,$A6,'Cleaned Data'!$C$3:$C$100,G$3)</f>
        <v>252000</v>
      </c>
      <c r="H6" s="51">
        <f>SUMIFS('Cleaned Data'!$H$3:$H$100,'Cleaned Data'!$G$3:$G$100,$A6,'Cleaned Data'!$C$3:$C$100,H$3)</f>
        <v>417000</v>
      </c>
      <c r="I6" s="51">
        <f>SUMIFS('Cleaned Data'!$H$3:$H$100,'Cleaned Data'!$G$3:$G$100,$A6,'Cleaned Data'!$C$3:$C$100,I$3)</f>
        <v>139000</v>
      </c>
      <c r="J6" s="51">
        <f>SUMIFS('Cleaned Data'!$H$3:$H$100,'Cleaned Data'!$G$3:$G$100,$A6,'Cleaned Data'!$C$3:$C$100,J$3)</f>
        <v>142000</v>
      </c>
      <c r="K6" s="54">
        <f>SUMIFS('Cleaned Data'!$H$3:$H$100,'Cleaned Data'!$G$3:$G$100,$A6,'Cleaned Data'!$C$3:$C$100,K$3)</f>
        <v>0</v>
      </c>
      <c r="L6" s="51">
        <f>SUMIFS('Cleaned Data'!$H$3:$H$100,'Cleaned Data'!$G$3:$G$100,$A6,'Cleaned Data'!$C$3:$C$100,L$3)</f>
        <v>279000</v>
      </c>
      <c r="M6" s="51">
        <f>SUMIFS('Cleaned Data'!$H$3:$H$100,'Cleaned Data'!$G$3:$G$100,$A6,'Cleaned Data'!$C$3:$C$100,M$3)</f>
        <v>292000</v>
      </c>
      <c r="N6" s="52">
        <f t="shared" si="0"/>
        <v>2487000</v>
      </c>
      <c r="O6" s="7"/>
      <c r="P6" s="3"/>
      <c r="Q6" s="3"/>
      <c r="R6" s="34"/>
      <c r="S6" s="34"/>
      <c r="T6" s="34"/>
      <c r="U6" s="34"/>
    </row>
    <row r="7" spans="1:21" ht="21.75" customHeight="1" x14ac:dyDescent="0.25">
      <c r="A7" s="50" t="str">
        <v>Internship</v>
      </c>
      <c r="B7" s="54">
        <f>SUMIFS('Cleaned Data'!$H$3:$H$100,'Cleaned Data'!$G$3:$G$100,$A7,'Cleaned Data'!$C$3:$C$100,B$3)</f>
        <v>0</v>
      </c>
      <c r="C7" s="54">
        <f>SUMIFS('Cleaned Data'!$H$3:$H$100,'Cleaned Data'!$G$3:$G$100,$A7,'Cleaned Data'!$C$3:$C$100,C$3)</f>
        <v>0</v>
      </c>
      <c r="D7" s="51">
        <f>SUMIFS('Cleaned Data'!$H$3:$H$100,'Cleaned Data'!$G$3:$G$100,$A7,'Cleaned Data'!$C$3:$C$100,D$3)</f>
        <v>59000</v>
      </c>
      <c r="E7" s="54">
        <f>SUMIFS('Cleaned Data'!$H$3:$H$100,'Cleaned Data'!$G$3:$G$100,$A7,'Cleaned Data'!$C$3:$C$100,E$3)</f>
        <v>0</v>
      </c>
      <c r="F7" s="54">
        <f>SUMIFS('Cleaned Data'!$H$3:$H$100,'Cleaned Data'!$G$3:$G$100,$A7,'Cleaned Data'!$C$3:$C$100,F$3)</f>
        <v>0</v>
      </c>
      <c r="G7" s="54">
        <f>SUMIFS('Cleaned Data'!$H$3:$H$100,'Cleaned Data'!$G$3:$G$100,$A7,'Cleaned Data'!$C$3:$C$100,G$3)</f>
        <v>0</v>
      </c>
      <c r="H7" s="54">
        <f>SUMIFS('Cleaned Data'!$H$3:$H$100,'Cleaned Data'!$G$3:$G$100,$A7,'Cleaned Data'!$C$3:$C$100,H$3)</f>
        <v>0</v>
      </c>
      <c r="I7" s="51">
        <f>SUMIFS('Cleaned Data'!$H$3:$H$100,'Cleaned Data'!$G$3:$G$100,$A7,'Cleaned Data'!$C$3:$C$100,I$3)</f>
        <v>59000</v>
      </c>
      <c r="J7" s="54">
        <f>SUMIFS('Cleaned Data'!$H$3:$H$100,'Cleaned Data'!$G$3:$G$100,$A7,'Cleaned Data'!$C$3:$C$100,J$3)</f>
        <v>0</v>
      </c>
      <c r="K7" s="51">
        <f>SUMIFS('Cleaned Data'!$H$3:$H$100,'Cleaned Data'!$G$3:$G$100,$A7,'Cleaned Data'!$C$3:$C$100,K$3)</f>
        <v>27000</v>
      </c>
      <c r="L7" s="51">
        <f>SUMIFS('Cleaned Data'!$H$3:$H$100,'Cleaned Data'!$G$3:$G$100,$A7,'Cleaned Data'!$C$3:$C$100,L$3)</f>
        <v>31000</v>
      </c>
      <c r="M7" s="54">
        <f>SUMIFS('Cleaned Data'!$H$3:$H$100,'Cleaned Data'!$G$3:$G$100,$A7,'Cleaned Data'!$C$3:$C$100,M$3)</f>
        <v>0</v>
      </c>
      <c r="N7" s="52">
        <f t="shared" si="0"/>
        <v>176000</v>
      </c>
      <c r="O7" s="7"/>
      <c r="P7" s="3"/>
      <c r="Q7" s="3"/>
      <c r="R7" s="34"/>
      <c r="S7" s="34"/>
      <c r="T7" s="34"/>
      <c r="U7" s="34"/>
    </row>
    <row r="8" spans="1:21" ht="21" customHeight="1" x14ac:dyDescent="0.25">
      <c r="A8" s="50" t="str">
        <v>Unknown</v>
      </c>
      <c r="B8" s="54">
        <f>SUMIFS('Cleaned Data'!$H$3:$H$100,'Cleaned Data'!$G$3:$G$100,$A8,'Cleaned Data'!$C$3:$C$100,B$3)</f>
        <v>0</v>
      </c>
      <c r="C8" s="51">
        <f>SUMIFS('Cleaned Data'!$H$3:$H$100,'Cleaned Data'!$G$3:$G$100,$A8,'Cleaned Data'!$C$3:$C$100,C$3)</f>
        <v>112000</v>
      </c>
      <c r="D8" s="54">
        <f>SUMIFS('Cleaned Data'!$H$3:$H$100,'Cleaned Data'!$G$3:$G$100,$A8,'Cleaned Data'!$C$3:$C$100,D$3)</f>
        <v>0</v>
      </c>
      <c r="E8" s="54">
        <f>SUMIFS('Cleaned Data'!$H$3:$H$100,'Cleaned Data'!$G$3:$G$100,$A8,'Cleaned Data'!$C$3:$C$100,E$3)</f>
        <v>0</v>
      </c>
      <c r="F8" s="51">
        <f>SUMIFS('Cleaned Data'!$H$3:$H$100,'Cleaned Data'!$G$3:$G$100,$A8,'Cleaned Data'!$C$3:$C$100,F$3)</f>
        <v>73000</v>
      </c>
      <c r="G8" s="54">
        <f>SUMIFS('Cleaned Data'!$H$3:$H$100,'Cleaned Data'!$G$3:$G$100,$A8,'Cleaned Data'!$C$3:$C$100,G$3)</f>
        <v>0</v>
      </c>
      <c r="H8" s="54">
        <f>SUMIFS('Cleaned Data'!$H$3:$H$100,'Cleaned Data'!$G$3:$G$100,$A8,'Cleaned Data'!$C$3:$C$100,H$3)</f>
        <v>0</v>
      </c>
      <c r="I8" s="51">
        <f>SUMIFS('Cleaned Data'!$H$3:$H$100,'Cleaned Data'!$G$3:$G$100,$A8,'Cleaned Data'!$C$3:$C$100,I$3)</f>
        <v>210000</v>
      </c>
      <c r="J8" s="54">
        <f>SUMIFS('Cleaned Data'!$H$3:$H$100,'Cleaned Data'!$G$3:$G$100,$A8,'Cleaned Data'!$C$3:$C$100,J$3)</f>
        <v>0</v>
      </c>
      <c r="K8" s="54">
        <f>SUMIFS('Cleaned Data'!$H$3:$H$100,'Cleaned Data'!$G$3:$G$100,$A8,'Cleaned Data'!$C$3:$C$100,K$3)</f>
        <v>0</v>
      </c>
      <c r="L8" s="51">
        <f>SUMIFS('Cleaned Data'!$H$3:$H$100,'Cleaned Data'!$G$3:$G$100,$A8,'Cleaned Data'!$C$3:$C$100,L$3)</f>
        <v>462000</v>
      </c>
      <c r="M8" s="51">
        <f>SUMIFS('Cleaned Data'!$H$3:$H$100,'Cleaned Data'!$G$3:$G$100,$A8,'Cleaned Data'!$C$3:$C$100,M$3)</f>
        <v>59000</v>
      </c>
      <c r="N8" s="52">
        <f t="shared" si="0"/>
        <v>916000</v>
      </c>
      <c r="O8" s="7"/>
      <c r="P8" s="3"/>
      <c r="Q8" s="3"/>
      <c r="R8" s="34"/>
      <c r="S8" s="34"/>
      <c r="T8" s="34"/>
      <c r="U8" s="34"/>
    </row>
    <row r="9" spans="1:21" ht="21" customHeight="1" x14ac:dyDescent="0.25">
      <c r="A9" s="50" t="str">
        <v xml:space="preserve"> Salary </v>
      </c>
      <c r="B9" s="54">
        <f>SUMIFS('Cleaned Data'!$H$3:$H$100,'Cleaned Data'!$G$3:$G$100,$A9,'Cleaned Data'!$C$3:$C$100,B$3)</f>
        <v>0</v>
      </c>
      <c r="C9" s="54">
        <f>SUMIFS('Cleaned Data'!$H$3:$H$100,'Cleaned Data'!$G$3:$G$100,$A9,'Cleaned Data'!$C$3:$C$100,C$3)</f>
        <v>0</v>
      </c>
      <c r="D9" s="54">
        <f>SUMIFS('Cleaned Data'!$H$3:$H$100,'Cleaned Data'!$G$3:$G$100,$A9,'Cleaned Data'!$C$3:$C$100,D$3)</f>
        <v>0</v>
      </c>
      <c r="E9" s="54">
        <f>SUMIFS('Cleaned Data'!$H$3:$H$100,'Cleaned Data'!$G$3:$G$100,$A9,'Cleaned Data'!$C$3:$C$100,E$3)</f>
        <v>0</v>
      </c>
      <c r="F9" s="54">
        <f>SUMIFS('Cleaned Data'!$H$3:$H$100,'Cleaned Data'!$G$3:$G$100,$A9,'Cleaned Data'!$C$3:$C$100,F$3)</f>
        <v>0</v>
      </c>
      <c r="G9" s="51">
        <f>SUMIFS('Cleaned Data'!$H$3:$H$100,'Cleaned Data'!$G$3:$G$100,$A9,'Cleaned Data'!$C$3:$C$100,G$3)</f>
        <v>65000</v>
      </c>
      <c r="H9" s="54">
        <f>SUMIFS('Cleaned Data'!$H$3:$H$100,'Cleaned Data'!$G$3:$G$100,$A9,'Cleaned Data'!$C$3:$C$100,H$3)</f>
        <v>0</v>
      </c>
      <c r="I9" s="54">
        <f>SUMIFS('Cleaned Data'!$H$3:$H$100,'Cleaned Data'!$G$3:$G$100,$A9,'Cleaned Data'!$C$3:$C$100,I$3)</f>
        <v>0</v>
      </c>
      <c r="J9" s="54">
        <f>SUMIFS('Cleaned Data'!$H$3:$H$100,'Cleaned Data'!$G$3:$G$100,$A9,'Cleaned Data'!$C$3:$C$100,J$3)</f>
        <v>0</v>
      </c>
      <c r="K9" s="54">
        <f>SUMIFS('Cleaned Data'!$H$3:$H$100,'Cleaned Data'!$G$3:$G$100,$A9,'Cleaned Data'!$C$3:$C$100,K$3)</f>
        <v>0</v>
      </c>
      <c r="L9" s="54">
        <f>SUMIFS('Cleaned Data'!$H$3:$H$100,'Cleaned Data'!$G$3:$G$100,$A9,'Cleaned Data'!$C$3:$C$100,L$3)</f>
        <v>0</v>
      </c>
      <c r="M9" s="54">
        <f>SUMIFS('Cleaned Data'!$H$3:$H$100,'Cleaned Data'!$G$3:$G$100,$A9,'Cleaned Data'!$C$3:$C$100,M$3)</f>
        <v>0</v>
      </c>
      <c r="N9" s="52">
        <f t="shared" si="0"/>
        <v>65000</v>
      </c>
      <c r="O9" s="3"/>
      <c r="P9" s="3"/>
      <c r="Q9" s="3"/>
      <c r="R9" s="34"/>
      <c r="S9" s="34"/>
      <c r="T9" s="34"/>
      <c r="U9" s="34"/>
    </row>
    <row r="10" spans="1:21" ht="23.25" customHeight="1" x14ac:dyDescent="0.25">
      <c r="A10" s="49" t="s">
        <v>297</v>
      </c>
      <c r="B10" s="53">
        <f t="shared" ref="B10:N10" si="1">SUM(B4:B9)</f>
        <v>605000</v>
      </c>
      <c r="C10" s="53">
        <f t="shared" si="1"/>
        <v>681000</v>
      </c>
      <c r="D10" s="53">
        <f t="shared" si="1"/>
        <v>570000</v>
      </c>
      <c r="E10" s="53">
        <f t="shared" si="1"/>
        <v>817000</v>
      </c>
      <c r="F10" s="53">
        <f t="shared" si="1"/>
        <v>552000</v>
      </c>
      <c r="G10" s="53">
        <f t="shared" si="1"/>
        <v>639000</v>
      </c>
      <c r="H10" s="53">
        <f t="shared" si="1"/>
        <v>731000</v>
      </c>
      <c r="I10" s="53">
        <f t="shared" si="1"/>
        <v>630000</v>
      </c>
      <c r="J10" s="53">
        <f t="shared" si="1"/>
        <v>661000</v>
      </c>
      <c r="K10" s="53">
        <f t="shared" si="1"/>
        <v>465000</v>
      </c>
      <c r="L10" s="53">
        <f t="shared" si="1"/>
        <v>825000</v>
      </c>
      <c r="M10" s="53">
        <f t="shared" si="1"/>
        <v>695000</v>
      </c>
      <c r="N10" s="53">
        <f t="shared" si="1"/>
        <v>7871000</v>
      </c>
      <c r="O10" s="3"/>
      <c r="P10" s="3"/>
      <c r="Q10" s="3"/>
      <c r="R10" s="34"/>
      <c r="S10" s="34"/>
      <c r="T10" s="34"/>
      <c r="U10" s="34"/>
    </row>
    <row r="11" spans="1:21" ht="15" customHeight="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4"/>
      <c r="S11" s="34"/>
      <c r="T11" s="34"/>
      <c r="U11" s="34"/>
    </row>
    <row r="12" spans="1:21" ht="15" customHeight="1" x14ac:dyDescent="0.25">
      <c r="A12" s="3"/>
      <c r="B12" s="6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5" t="s">
        <v>298</v>
      </c>
      <c r="R12" s="34"/>
      <c r="S12" s="34"/>
      <c r="T12" s="34"/>
      <c r="U12" s="34"/>
    </row>
    <row r="13" spans="1:21" ht="15" customHeight="1" x14ac:dyDescent="0.25">
      <c r="A13" s="3"/>
      <c r="B13" s="3"/>
      <c r="C13" s="3"/>
      <c r="D13" s="3"/>
      <c r="E13" s="6"/>
      <c r="F13" s="3"/>
      <c r="G13" s="3"/>
      <c r="H13" s="3"/>
      <c r="I13" s="3"/>
      <c r="J13" s="3"/>
      <c r="K13" s="3"/>
      <c r="L13" s="3"/>
      <c r="M13" s="3"/>
      <c r="N13" s="6"/>
      <c r="O13" s="3"/>
      <c r="P13" s="3"/>
      <c r="Q13" s="3"/>
      <c r="R13" s="34"/>
      <c r="S13" s="34"/>
      <c r="T13" s="34"/>
      <c r="U13" s="34"/>
    </row>
    <row r="14" spans="1:21" ht="15" customHeight="1" x14ac:dyDescent="0.25">
      <c r="A14" s="3"/>
      <c r="B14" s="3"/>
      <c r="C14" s="3"/>
      <c r="D14" s="3"/>
      <c r="E14" s="6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4"/>
      <c r="S14" s="34"/>
      <c r="T14" s="34"/>
      <c r="U14" s="34"/>
    </row>
    <row r="15" spans="1:21" ht="1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4"/>
      <c r="S15" s="34"/>
      <c r="T15" s="34"/>
      <c r="U15" s="34"/>
    </row>
    <row r="16" spans="1:21" ht="15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4"/>
      <c r="S16" s="34"/>
      <c r="T16" s="34"/>
      <c r="U16" s="34"/>
    </row>
    <row r="17" spans="1:21" ht="15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4"/>
      <c r="S17" s="34"/>
      <c r="T17" s="34"/>
      <c r="U17" s="34"/>
    </row>
    <row r="18" spans="1:21" ht="15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4"/>
      <c r="S18" s="34"/>
      <c r="T18" s="34"/>
      <c r="U18" s="34"/>
    </row>
    <row r="19" spans="1:21" ht="15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4"/>
      <c r="S19" s="34"/>
      <c r="T19" s="34"/>
      <c r="U19" s="34"/>
    </row>
    <row r="20" spans="1:21" ht="15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4"/>
      <c r="S20" s="34"/>
      <c r="T20" s="34"/>
      <c r="U20" s="34"/>
    </row>
    <row r="21" spans="1:21" ht="1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4"/>
      <c r="S21" s="34"/>
      <c r="T21" s="34"/>
      <c r="U21" s="34"/>
    </row>
    <row r="22" spans="1:21" ht="1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4"/>
      <c r="S22" s="34"/>
      <c r="T22" s="34"/>
      <c r="U22" s="34"/>
    </row>
    <row r="23" spans="1:21" ht="1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4"/>
      <c r="S23" s="34"/>
      <c r="T23" s="34"/>
      <c r="U23" s="34"/>
    </row>
    <row r="24" spans="1:21" ht="1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4"/>
      <c r="S24" s="34"/>
      <c r="T24" s="34"/>
      <c r="U24" s="34"/>
    </row>
    <row r="25" spans="1:21" ht="1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4"/>
      <c r="S25" s="34"/>
      <c r="T25" s="34"/>
      <c r="U25" s="34"/>
    </row>
    <row r="26" spans="1:21" ht="1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4"/>
      <c r="S26" s="34"/>
      <c r="T26" s="34"/>
      <c r="U26" s="34"/>
    </row>
    <row r="27" spans="1:21" ht="1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4"/>
      <c r="S27" s="34"/>
      <c r="T27" s="34"/>
      <c r="U27" s="34"/>
    </row>
    <row r="28" spans="1:21" ht="1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4"/>
      <c r="S28" s="34"/>
      <c r="T28" s="34"/>
      <c r="U28" s="34"/>
    </row>
    <row r="29" spans="1:21" ht="1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4"/>
      <c r="S29" s="34"/>
      <c r="T29" s="34"/>
      <c r="U29" s="34"/>
    </row>
    <row r="30" spans="1:21" ht="1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4"/>
      <c r="S30" s="34"/>
      <c r="T30" s="34"/>
      <c r="U30" s="34"/>
    </row>
    <row r="31" spans="1:21" ht="1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4"/>
      <c r="S31" s="34"/>
      <c r="T31" s="34"/>
      <c r="U31" s="34"/>
    </row>
    <row r="32" spans="1:21" ht="1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4"/>
      <c r="S32" s="34"/>
      <c r="T32" s="34"/>
      <c r="U32" s="34"/>
    </row>
    <row r="33" spans="1:21" ht="1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4"/>
      <c r="S33" s="34"/>
      <c r="T33" s="34"/>
      <c r="U33" s="34"/>
    </row>
    <row r="34" spans="1:21" ht="1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4"/>
      <c r="S34" s="34"/>
      <c r="T34" s="34"/>
      <c r="U34" s="34"/>
    </row>
    <row r="35" spans="1:21" ht="1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4"/>
      <c r="S35" s="34"/>
      <c r="T35" s="34"/>
      <c r="U35" s="34"/>
    </row>
    <row r="36" spans="1:21" ht="1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4"/>
      <c r="S36" s="34"/>
      <c r="T36" s="34"/>
      <c r="U36" s="34"/>
    </row>
    <row r="37" spans="1:21" ht="1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4"/>
      <c r="S37" s="34"/>
      <c r="T37" s="34"/>
      <c r="U37" s="34"/>
    </row>
    <row r="38" spans="1:21" ht="1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4"/>
      <c r="S38" s="34"/>
      <c r="T38" s="34"/>
      <c r="U38" s="34"/>
    </row>
    <row r="39" spans="1:21" ht="1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4"/>
      <c r="S39" s="34"/>
      <c r="T39" s="34"/>
      <c r="U39" s="34"/>
    </row>
    <row r="40" spans="1:21" ht="1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4"/>
      <c r="S40" s="34"/>
      <c r="T40" s="34"/>
      <c r="U40" s="34"/>
    </row>
    <row r="41" spans="1:21" ht="1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4"/>
      <c r="S41" s="34"/>
      <c r="T41" s="34"/>
      <c r="U41" s="34"/>
    </row>
    <row r="42" spans="1:21" ht="1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4"/>
      <c r="S42" s="34"/>
      <c r="T42" s="34"/>
      <c r="U42" s="34"/>
    </row>
    <row r="43" spans="1:21" ht="1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4"/>
      <c r="S43" s="34"/>
      <c r="T43" s="34"/>
      <c r="U43" s="34"/>
    </row>
    <row r="44" spans="1:21" ht="1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4"/>
      <c r="S44" s="34"/>
      <c r="T44" s="34"/>
      <c r="U44" s="34"/>
    </row>
    <row r="45" spans="1:21" ht="1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4"/>
      <c r="S45" s="34"/>
      <c r="T45" s="34"/>
      <c r="U45" s="34"/>
    </row>
    <row r="46" spans="1:21" ht="1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4"/>
      <c r="S46" s="34"/>
      <c r="T46" s="34"/>
      <c r="U46" s="34"/>
    </row>
    <row r="47" spans="1:21" ht="1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4"/>
      <c r="S47" s="34"/>
      <c r="T47" s="34"/>
      <c r="U47" s="34"/>
    </row>
    <row r="48" spans="1:21" ht="1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4"/>
      <c r="S48" s="34"/>
      <c r="T48" s="34"/>
      <c r="U48" s="34"/>
    </row>
    <row r="49" spans="1:21" ht="1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4"/>
      <c r="S49" s="34"/>
      <c r="T49" s="34"/>
      <c r="U49" s="34"/>
    </row>
    <row r="50" spans="1:21" ht="1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4"/>
      <c r="S50" s="34"/>
      <c r="T50" s="34"/>
      <c r="U50" s="34"/>
    </row>
    <row r="51" spans="1:21" ht="1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4"/>
      <c r="S51" s="34"/>
      <c r="T51" s="34"/>
      <c r="U51" s="34"/>
    </row>
    <row r="52" spans="1:21" ht="1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4"/>
      <c r="S52" s="34"/>
      <c r="T52" s="34"/>
      <c r="U52" s="34"/>
    </row>
    <row r="53" spans="1:21" ht="1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4"/>
      <c r="S53" s="34"/>
      <c r="T53" s="34"/>
      <c r="U53" s="34"/>
    </row>
    <row r="54" spans="1:21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4"/>
      <c r="S54" s="34"/>
      <c r="T54" s="34"/>
      <c r="U54" s="34"/>
    </row>
    <row r="55" spans="1:21" ht="1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4"/>
      <c r="S55" s="34"/>
      <c r="T55" s="34"/>
      <c r="U55" s="34"/>
    </row>
    <row r="56" spans="1:21" ht="1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4"/>
      <c r="S56" s="34"/>
      <c r="T56" s="34"/>
      <c r="U56" s="34"/>
    </row>
    <row r="57" spans="1:21" ht="1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4"/>
      <c r="S57" s="34"/>
      <c r="T57" s="34"/>
      <c r="U57" s="34"/>
    </row>
    <row r="58" spans="1:21" ht="1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4"/>
      <c r="S58" s="34"/>
      <c r="T58" s="34"/>
      <c r="U58" s="34"/>
    </row>
    <row r="59" spans="1:21" ht="1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4"/>
      <c r="S59" s="34"/>
      <c r="T59" s="34"/>
      <c r="U59" s="34"/>
    </row>
  </sheetData>
  <mergeCells count="2">
    <mergeCell ref="A2:C2"/>
    <mergeCell ref="A1:M1"/>
  </mergeCells>
  <hyperlinks>
    <hyperlink ref="N1" location="'Welcome Page'!A1" display="Go to Welcome Page"/>
  </hyperlink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Q59"/>
  <sheetViews>
    <sheetView showGridLines="0" zoomScale="90" zoomScaleNormal="90" workbookViewId="0">
      <selection activeCell="O1" sqref="O1"/>
    </sheetView>
  </sheetViews>
  <sheetFormatPr defaultColWidth="8.7109375" defaultRowHeight="15" x14ac:dyDescent="0.25"/>
  <cols>
    <col min="1" max="1" width="24.140625" style="1" customWidth="1"/>
    <col min="2" max="2" width="11.5703125" style="1" customWidth="1"/>
    <col min="3" max="3" width="11.42578125" style="1" customWidth="1"/>
    <col min="4" max="4" width="11.5703125" style="1" customWidth="1"/>
    <col min="5" max="5" width="11.42578125" style="1" customWidth="1"/>
    <col min="6" max="6" width="11.85546875" style="1" customWidth="1"/>
    <col min="7" max="7" width="12" style="1" customWidth="1"/>
    <col min="8" max="8" width="11.42578125" style="1" customWidth="1"/>
    <col min="9" max="9" width="11.7109375" style="1" customWidth="1"/>
    <col min="10" max="10" width="13.28515625" style="1" customWidth="1"/>
    <col min="11" max="11" width="11.28515625" style="1" customWidth="1"/>
    <col min="12" max="12" width="13.5703125" style="1" customWidth="1"/>
    <col min="13" max="13" width="13.140625" style="1" customWidth="1"/>
    <col min="14" max="14" width="15.28515625" style="1" customWidth="1"/>
    <col min="15" max="15" width="20" style="1" customWidth="1"/>
    <col min="16" max="16" width="12.42578125" customWidth="1"/>
    <col min="17" max="17" width="12.140625" customWidth="1"/>
  </cols>
  <sheetData>
    <row r="1" spans="1:17" ht="45" customHeight="1" thickBot="1" x14ac:dyDescent="0.3">
      <c r="A1" s="156" t="s">
        <v>299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97" t="s">
        <v>22</v>
      </c>
      <c r="P1" s="33"/>
      <c r="Q1" s="33"/>
    </row>
    <row r="2" spans="1:17" ht="15" customHeight="1" x14ac:dyDescent="0.2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96"/>
      <c r="P2" s="2"/>
      <c r="Q2" s="2"/>
    </row>
    <row r="3" spans="1:17" ht="15" customHeight="1" x14ac:dyDescent="0.25">
      <c r="A3" s="49" t="s">
        <v>286</v>
      </c>
      <c r="B3" s="49" t="s">
        <v>39</v>
      </c>
      <c r="C3" s="49" t="s">
        <v>47</v>
      </c>
      <c r="D3" s="49" t="s">
        <v>55</v>
      </c>
      <c r="E3" s="49" t="s">
        <v>60</v>
      </c>
      <c r="F3" s="49" t="s">
        <v>68</v>
      </c>
      <c r="G3" s="49" t="s">
        <v>74</v>
      </c>
      <c r="H3" s="49" t="s">
        <v>79</v>
      </c>
      <c r="I3" s="49" t="s">
        <v>84</v>
      </c>
      <c r="J3" s="49" t="s">
        <v>89</v>
      </c>
      <c r="K3" s="49" t="s">
        <v>93</v>
      </c>
      <c r="L3" s="49" t="s">
        <v>98</v>
      </c>
      <c r="M3" s="49" t="s">
        <v>102</v>
      </c>
      <c r="N3" s="49" t="s">
        <v>296</v>
      </c>
      <c r="O3" s="49" t="s">
        <v>300</v>
      </c>
      <c r="P3" s="2"/>
      <c r="Q3" s="2"/>
    </row>
    <row r="4" spans="1:17" ht="15" customHeight="1" x14ac:dyDescent="0.25">
      <c r="A4" s="50" t="str" cm="1">
        <f t="array" ref="A4:A15">_xlfn.UNIQUE('Cleaned Data'!I3:I100)</f>
        <v>Rent</v>
      </c>
      <c r="B4" s="85">
        <f>SUMIFS('Cleaned Data'!$J:$J,'Cleaned Data'!$I:$I,$A4,'Cleaned Data'!$C:$C,B$3)</f>
        <v>78000</v>
      </c>
      <c r="C4" s="85">
        <f>SUMIFS('Cleaned Data'!$J:$J,'Cleaned Data'!$I:$I,$A4,'Cleaned Data'!$C:$C,C$3)</f>
        <v>56000</v>
      </c>
      <c r="D4" s="86">
        <f>SUMIFS('Cleaned Data'!$J:$J,'Cleaned Data'!$I:$I,$A4,'Cleaned Data'!$C:$C,D$3)</f>
        <v>0</v>
      </c>
      <c r="E4" s="86">
        <f>SUMIFS('Cleaned Data'!$J:$J,'Cleaned Data'!$I:$I,$A4,'Cleaned Data'!$C:$C,E$3)</f>
        <v>0</v>
      </c>
      <c r="F4" s="86">
        <f>SUMIFS('Cleaned Data'!$J:$J,'Cleaned Data'!$I:$I,$A4,'Cleaned Data'!$C:$C,F$3)</f>
        <v>0</v>
      </c>
      <c r="G4" s="85">
        <f>SUMIFS('Cleaned Data'!$J:$J,'Cleaned Data'!$I:$I,$A4,'Cleaned Data'!$C:$C,G$3)</f>
        <v>46000</v>
      </c>
      <c r="H4" s="85">
        <f>SUMIFS('Cleaned Data'!$J:$J,'Cleaned Data'!$I:$I,$A4,'Cleaned Data'!$C:$C,H$3)</f>
        <v>61000</v>
      </c>
      <c r="I4" s="85">
        <f>SUMIFS('Cleaned Data'!$J:$J,'Cleaned Data'!$I:$I,$A4,'Cleaned Data'!$C:$C,I$3)</f>
        <v>50500</v>
      </c>
      <c r="J4" s="85">
        <f>SUMIFS('Cleaned Data'!$J:$J,'Cleaned Data'!$I:$I,$A4,'Cleaned Data'!$C:$C,J$3)</f>
        <v>16000</v>
      </c>
      <c r="K4" s="85">
        <f>SUMIFS('Cleaned Data'!$J:$J,'Cleaned Data'!$I:$I,$A4,'Cleaned Data'!$C:$C,K$3)</f>
        <v>19500</v>
      </c>
      <c r="L4" s="86">
        <f>SUMIFS('Cleaned Data'!$J:$J,'Cleaned Data'!$I:$I,$A4,'Cleaned Data'!$C:$C,L$3)</f>
        <v>0</v>
      </c>
      <c r="M4" s="86">
        <f>SUMIFS('Cleaned Data'!$J:$J,'Cleaned Data'!$I:$I,$A4,'Cleaned Data'!$C:$C,M$3)</f>
        <v>0</v>
      </c>
      <c r="N4" s="58">
        <f>SUM(B4:M4)</f>
        <v>327000</v>
      </c>
      <c r="O4" s="56">
        <f>N4/$N$16</f>
        <v>0.28686726905868937</v>
      </c>
      <c r="P4" s="2"/>
      <c r="Q4" s="2"/>
    </row>
    <row r="5" spans="1:17" ht="15" customHeight="1" x14ac:dyDescent="0.25">
      <c r="A5" s="50" t="str">
        <v>Groceries</v>
      </c>
      <c r="B5" s="85">
        <f>SUMIFS('Cleaned Data'!$J:$J,'Cleaned Data'!$I:$I,$A5,'Cleaned Data'!$C:$C,B$3)</f>
        <v>6200</v>
      </c>
      <c r="C5" s="85">
        <f>SUMIFS('Cleaned Data'!$J:$J,'Cleaned Data'!$I:$I,$A5,'Cleaned Data'!$C:$C,C$3)</f>
        <v>6500</v>
      </c>
      <c r="D5" s="86">
        <f>SUMIFS('Cleaned Data'!$J:$J,'Cleaned Data'!$I:$I,$A5,'Cleaned Data'!$C:$C,D$3)</f>
        <v>0</v>
      </c>
      <c r="E5" s="85">
        <f>SUMIFS('Cleaned Data'!$J:$J,'Cleaned Data'!$I:$I,$A5,'Cleaned Data'!$C:$C,E$3)</f>
        <v>5900</v>
      </c>
      <c r="F5" s="86">
        <f>SUMIFS('Cleaned Data'!$J:$J,'Cleaned Data'!$I:$I,$A5,'Cleaned Data'!$C:$C,F$3)</f>
        <v>0</v>
      </c>
      <c r="G5" s="86">
        <f>SUMIFS('Cleaned Data'!$J:$J,'Cleaned Data'!$I:$I,$A5,'Cleaned Data'!$C:$C,G$3)</f>
        <v>0</v>
      </c>
      <c r="H5" s="85">
        <f>SUMIFS('Cleaned Data'!$J:$J,'Cleaned Data'!$I:$I,$A5,'Cleaned Data'!$C:$C,H$3)</f>
        <v>6800</v>
      </c>
      <c r="I5" s="86">
        <f>SUMIFS('Cleaned Data'!$J:$J,'Cleaned Data'!$I:$I,$A5,'Cleaned Data'!$C:$C,I$3)</f>
        <v>0</v>
      </c>
      <c r="J5" s="86">
        <f>SUMIFS('Cleaned Data'!$J:$J,'Cleaned Data'!$I:$I,$A5,'Cleaned Data'!$C:$C,J$3)</f>
        <v>0</v>
      </c>
      <c r="K5" s="86">
        <f>SUMIFS('Cleaned Data'!$J:$J,'Cleaned Data'!$I:$I,$A5,'Cleaned Data'!$C:$C,K$3)</f>
        <v>0</v>
      </c>
      <c r="L5" s="86">
        <f>SUMIFS('Cleaned Data'!$J:$J,'Cleaned Data'!$I:$I,$A5,'Cleaned Data'!$C:$C,L$3)</f>
        <v>0</v>
      </c>
      <c r="M5" s="85">
        <f>SUMIFS('Cleaned Data'!$J:$J,'Cleaned Data'!$I:$I,$A5,'Cleaned Data'!$C:$C,M$3)</f>
        <v>13100</v>
      </c>
      <c r="N5" s="58">
        <f t="shared" ref="N5:N15" si="0">SUM(B5:M5)</f>
        <v>38500</v>
      </c>
      <c r="O5" s="56">
        <f t="shared" ref="O5:O16" si="1">N5/$N$16</f>
        <v>3.3774892534432846E-2</v>
      </c>
      <c r="P5" s="2"/>
      <c r="Q5" s="2"/>
    </row>
    <row r="6" spans="1:17" ht="15" customHeight="1" x14ac:dyDescent="0.25">
      <c r="A6" s="50" t="str">
        <v>Unknown</v>
      </c>
      <c r="B6" s="85">
        <f>SUMIFS('Cleaned Data'!$J:$J,'Cleaned Data'!$I:$I,$A6,'Cleaned Data'!$C:$C,B$3)</f>
        <v>8600</v>
      </c>
      <c r="C6" s="85">
        <f>SUMIFS('Cleaned Data'!$J:$J,'Cleaned Data'!$I:$I,$A6,'Cleaned Data'!$C:$C,C$3)</f>
        <v>3900</v>
      </c>
      <c r="D6" s="85">
        <f>SUMIFS('Cleaned Data'!$J:$J,'Cleaned Data'!$I:$I,$A6,'Cleaned Data'!$C:$C,D$3)</f>
        <v>3200</v>
      </c>
      <c r="E6" s="86">
        <f>SUMIFS('Cleaned Data'!$J:$J,'Cleaned Data'!$I:$I,$A6,'Cleaned Data'!$C:$C,E$3)</f>
        <v>0</v>
      </c>
      <c r="F6" s="85">
        <f>SUMIFS('Cleaned Data'!$J:$J,'Cleaned Data'!$I:$I,$A6,'Cleaned Data'!$C:$C,F$3)</f>
        <v>10800</v>
      </c>
      <c r="G6" s="85">
        <f>SUMIFS('Cleaned Data'!$J:$J,'Cleaned Data'!$I:$I,$A6,'Cleaned Data'!$C:$C,G$3)</f>
        <v>19400</v>
      </c>
      <c r="H6" s="86">
        <f>SUMIFS('Cleaned Data'!$J:$J,'Cleaned Data'!$I:$I,$A6,'Cleaned Data'!$C:$C,H$3)</f>
        <v>0</v>
      </c>
      <c r="I6" s="86">
        <f>SUMIFS('Cleaned Data'!$J:$J,'Cleaned Data'!$I:$I,$A6,'Cleaned Data'!$C:$C,I$3)</f>
        <v>0</v>
      </c>
      <c r="J6" s="85">
        <f>SUMIFS('Cleaned Data'!$J:$J,'Cleaned Data'!$I:$I,$A6,'Cleaned Data'!$C:$C,J$3)</f>
        <v>8200</v>
      </c>
      <c r="K6" s="85">
        <f>SUMIFS('Cleaned Data'!$J:$J,'Cleaned Data'!$I:$I,$A6,'Cleaned Data'!$C:$C,K$3)</f>
        <v>4300</v>
      </c>
      <c r="L6" s="86">
        <f>SUMIFS('Cleaned Data'!$J:$J,'Cleaned Data'!$I:$I,$A6,'Cleaned Data'!$C:$C,L$3)</f>
        <v>0</v>
      </c>
      <c r="M6" s="86">
        <f>SUMIFS('Cleaned Data'!$J:$J,'Cleaned Data'!$I:$I,$A6,'Cleaned Data'!$C:$C,M$3)</f>
        <v>0</v>
      </c>
      <c r="N6" s="58">
        <f t="shared" si="0"/>
        <v>58400</v>
      </c>
      <c r="O6" s="56">
        <f t="shared" si="1"/>
        <v>5.123256426002281E-2</v>
      </c>
      <c r="P6" s="2"/>
      <c r="Q6" s="2"/>
    </row>
    <row r="7" spans="1:17" ht="15" customHeight="1" x14ac:dyDescent="0.25">
      <c r="A7" s="50" t="str">
        <v>Utilities</v>
      </c>
      <c r="B7" s="85">
        <f>SUMIFS('Cleaned Data'!$J:$J,'Cleaned Data'!$I:$I,$A7,'Cleaned Data'!$C:$C,B$3)</f>
        <v>6100</v>
      </c>
      <c r="C7" s="86">
        <f>SUMIFS('Cleaned Data'!$J:$J,'Cleaned Data'!$I:$I,$A7,'Cleaned Data'!$C:$C,C$3)</f>
        <v>0</v>
      </c>
      <c r="D7" s="86">
        <f>SUMIFS('Cleaned Data'!$J:$J,'Cleaned Data'!$I:$I,$A7,'Cleaned Data'!$C:$C,D$3)</f>
        <v>0</v>
      </c>
      <c r="E7" s="85">
        <f>SUMIFS('Cleaned Data'!$J:$J,'Cleaned Data'!$I:$I,$A7,'Cleaned Data'!$C:$C,E$3)</f>
        <v>5400</v>
      </c>
      <c r="F7" s="85">
        <f>SUMIFS('Cleaned Data'!$J:$J,'Cleaned Data'!$I:$I,$A7,'Cleaned Data'!$C:$C,F$3)</f>
        <v>6300</v>
      </c>
      <c r="G7" s="86">
        <f>SUMIFS('Cleaned Data'!$J:$J,'Cleaned Data'!$I:$I,$A7,'Cleaned Data'!$C:$C,G$3)</f>
        <v>0</v>
      </c>
      <c r="H7" s="85">
        <f>SUMIFS('Cleaned Data'!$J:$J,'Cleaned Data'!$I:$I,$A7,'Cleaned Data'!$C:$C,H$3)</f>
        <v>15000</v>
      </c>
      <c r="I7" s="86">
        <f>SUMIFS('Cleaned Data'!$J:$J,'Cleaned Data'!$I:$I,$A7,'Cleaned Data'!$C:$C,I$3)</f>
        <v>0</v>
      </c>
      <c r="J7" s="85">
        <f>SUMIFS('Cleaned Data'!$J:$J,'Cleaned Data'!$I:$I,$A7,'Cleaned Data'!$C:$C,J$3)</f>
        <v>6100</v>
      </c>
      <c r="K7" s="85">
        <f>SUMIFS('Cleaned Data'!$J:$J,'Cleaned Data'!$I:$I,$A7,'Cleaned Data'!$C:$C,K$3)</f>
        <v>5900</v>
      </c>
      <c r="L7" s="86">
        <f>SUMIFS('Cleaned Data'!$J:$J,'Cleaned Data'!$I:$I,$A7,'Cleaned Data'!$C:$C,L$3)</f>
        <v>0</v>
      </c>
      <c r="M7" s="86">
        <f>SUMIFS('Cleaned Data'!$J:$J,'Cleaned Data'!$I:$I,$A7,'Cleaned Data'!$C:$C,M$3)</f>
        <v>0</v>
      </c>
      <c r="N7" s="58">
        <f t="shared" si="0"/>
        <v>44800</v>
      </c>
      <c r="O7" s="56">
        <f t="shared" si="1"/>
        <v>3.9301693130976402E-2</v>
      </c>
      <c r="P7" s="2"/>
      <c r="Q7" s="2"/>
    </row>
    <row r="8" spans="1:17" ht="15" customHeight="1" x14ac:dyDescent="0.25">
      <c r="A8" s="50" t="str">
        <v>Entertainment</v>
      </c>
      <c r="B8" s="86">
        <f>SUMIFS('Cleaned Data'!$J:$J,'Cleaned Data'!$I:$I,$A8,'Cleaned Data'!$C:$C,B$3)</f>
        <v>0</v>
      </c>
      <c r="C8" s="85">
        <f>SUMIFS('Cleaned Data'!$J:$J,'Cleaned Data'!$I:$I,$A8,'Cleaned Data'!$C:$C,C$3)</f>
        <v>8900</v>
      </c>
      <c r="D8" s="85">
        <f>SUMIFS('Cleaned Data'!$J:$J,'Cleaned Data'!$I:$I,$A8,'Cleaned Data'!$C:$C,D$3)</f>
        <v>8900</v>
      </c>
      <c r="E8" s="86">
        <f>SUMIFS('Cleaned Data'!$J:$J,'Cleaned Data'!$I:$I,$A8,'Cleaned Data'!$C:$C,E$3)</f>
        <v>0</v>
      </c>
      <c r="F8" s="85">
        <f>SUMIFS('Cleaned Data'!$J:$J,'Cleaned Data'!$I:$I,$A8,'Cleaned Data'!$C:$C,F$3)</f>
        <v>7600</v>
      </c>
      <c r="G8" s="86">
        <f>SUMIFS('Cleaned Data'!$J:$J,'Cleaned Data'!$I:$I,$A8,'Cleaned Data'!$C:$C,G$3)</f>
        <v>0</v>
      </c>
      <c r="H8" s="85">
        <f>SUMIFS('Cleaned Data'!$J:$J,'Cleaned Data'!$I:$I,$A8,'Cleaned Data'!$C:$C,H$3)</f>
        <v>4500</v>
      </c>
      <c r="I8" s="86">
        <f>SUMIFS('Cleaned Data'!$J:$J,'Cleaned Data'!$I:$I,$A8,'Cleaned Data'!$C:$C,I$3)</f>
        <v>0</v>
      </c>
      <c r="J8" s="86">
        <f>SUMIFS('Cleaned Data'!$J:$J,'Cleaned Data'!$I:$I,$A8,'Cleaned Data'!$C:$C,J$3)</f>
        <v>0</v>
      </c>
      <c r="K8" s="86">
        <f>SUMIFS('Cleaned Data'!$J:$J,'Cleaned Data'!$I:$I,$A8,'Cleaned Data'!$C:$C,K$3)</f>
        <v>0</v>
      </c>
      <c r="L8" s="85">
        <f>SUMIFS('Cleaned Data'!$J:$J,'Cleaned Data'!$I:$I,$A8,'Cleaned Data'!$C:$C,L$3)</f>
        <v>4100</v>
      </c>
      <c r="M8" s="86">
        <f>SUMIFS('Cleaned Data'!$J:$J,'Cleaned Data'!$I:$I,$A8,'Cleaned Data'!$C:$C,M$3)</f>
        <v>0</v>
      </c>
      <c r="N8" s="58">
        <f t="shared" si="0"/>
        <v>34000</v>
      </c>
      <c r="O8" s="56">
        <f t="shared" si="1"/>
        <v>2.982717782261602E-2</v>
      </c>
      <c r="P8" s="2"/>
      <c r="Q8" s="2"/>
    </row>
    <row r="9" spans="1:17" ht="15" customHeight="1" x14ac:dyDescent="0.25">
      <c r="A9" s="50" t="str">
        <v>Healthcare</v>
      </c>
      <c r="B9" s="86">
        <f>SUMIFS('Cleaned Data'!$J:$J,'Cleaned Data'!$I:$I,$A9,'Cleaned Data'!$C:$C,B$3)</f>
        <v>0</v>
      </c>
      <c r="C9" s="86">
        <f>SUMIFS('Cleaned Data'!$J:$J,'Cleaned Data'!$I:$I,$A9,'Cleaned Data'!$C:$C,C$3)</f>
        <v>0</v>
      </c>
      <c r="D9" s="85">
        <f>SUMIFS('Cleaned Data'!$J:$J,'Cleaned Data'!$I:$I,$A9,'Cleaned Data'!$C:$C,D$3)</f>
        <v>6800</v>
      </c>
      <c r="E9" s="85">
        <f>SUMIFS('Cleaned Data'!$J:$J,'Cleaned Data'!$I:$I,$A9,'Cleaned Data'!$C:$C,E$3)</f>
        <v>24600</v>
      </c>
      <c r="F9" s="86">
        <f>SUMIFS('Cleaned Data'!$J:$J,'Cleaned Data'!$I:$I,$A9,'Cleaned Data'!$C:$C,F$3)</f>
        <v>0</v>
      </c>
      <c r="G9" s="85">
        <f>SUMIFS('Cleaned Data'!$J:$J,'Cleaned Data'!$I:$I,$A9,'Cleaned Data'!$C:$C,G$3)</f>
        <v>2400</v>
      </c>
      <c r="H9" s="86">
        <f>SUMIFS('Cleaned Data'!$J:$J,'Cleaned Data'!$I:$I,$A9,'Cleaned Data'!$C:$C,H$3)</f>
        <v>0</v>
      </c>
      <c r="I9" s="86">
        <f>SUMIFS('Cleaned Data'!$J:$J,'Cleaned Data'!$I:$I,$A9,'Cleaned Data'!$C:$C,I$3)</f>
        <v>0</v>
      </c>
      <c r="J9" s="85">
        <f>SUMIFS('Cleaned Data'!$J:$J,'Cleaned Data'!$I:$I,$A9,'Cleaned Data'!$C:$C,J$3)</f>
        <v>9800</v>
      </c>
      <c r="K9" s="86">
        <f>SUMIFS('Cleaned Data'!$J:$J,'Cleaned Data'!$I:$I,$A9,'Cleaned Data'!$C:$C,K$3)</f>
        <v>0</v>
      </c>
      <c r="L9" s="85">
        <f>SUMIFS('Cleaned Data'!$J:$J,'Cleaned Data'!$I:$I,$A9,'Cleaned Data'!$C:$C,L$3)</f>
        <v>4100</v>
      </c>
      <c r="M9" s="85">
        <f>SUMIFS('Cleaned Data'!$J:$J,'Cleaned Data'!$I:$I,$A9,'Cleaned Data'!$C:$C,M$3)</f>
        <v>8300</v>
      </c>
      <c r="N9" s="58">
        <f t="shared" si="0"/>
        <v>56000</v>
      </c>
      <c r="O9" s="56">
        <f t="shared" si="1"/>
        <v>4.9127116413720501E-2</v>
      </c>
      <c r="P9" s="2"/>
      <c r="Q9" s="2"/>
    </row>
    <row r="10" spans="1:17" ht="15" customHeight="1" x14ac:dyDescent="0.25">
      <c r="A10" s="50" t="str">
        <v>Education</v>
      </c>
      <c r="B10" s="85">
        <f>SUMIFS('Cleaned Data'!$J:$J,'Cleaned Data'!$I:$I,$A10,'Cleaned Data'!$C:$C,B$3)</f>
        <v>6200</v>
      </c>
      <c r="C10" s="86">
        <f>SUMIFS('Cleaned Data'!$J:$J,'Cleaned Data'!$I:$I,$A10,'Cleaned Data'!$C:$C,C$3)</f>
        <v>0</v>
      </c>
      <c r="D10" s="86">
        <f>SUMIFS('Cleaned Data'!$J:$J,'Cleaned Data'!$I:$I,$A10,'Cleaned Data'!$C:$C,D$3)</f>
        <v>0</v>
      </c>
      <c r="E10" s="86">
        <f>SUMIFS('Cleaned Data'!$J:$J,'Cleaned Data'!$I:$I,$A10,'Cleaned Data'!$C:$C,E$3)</f>
        <v>0</v>
      </c>
      <c r="F10" s="86">
        <f>SUMIFS('Cleaned Data'!$J:$J,'Cleaned Data'!$I:$I,$A10,'Cleaned Data'!$C:$C,F$3)</f>
        <v>0</v>
      </c>
      <c r="G10" s="86">
        <f>SUMIFS('Cleaned Data'!$J:$J,'Cleaned Data'!$I:$I,$A10,'Cleaned Data'!$C:$C,G$3)</f>
        <v>0</v>
      </c>
      <c r="H10" s="86">
        <f>SUMIFS('Cleaned Data'!$J:$J,'Cleaned Data'!$I:$I,$A10,'Cleaned Data'!$C:$C,H$3)</f>
        <v>0</v>
      </c>
      <c r="I10" s="85">
        <f>SUMIFS('Cleaned Data'!$J:$J,'Cleaned Data'!$I:$I,$A10,'Cleaned Data'!$C:$C,I$3)</f>
        <v>8300</v>
      </c>
      <c r="J10" s="86">
        <f>SUMIFS('Cleaned Data'!$J:$J,'Cleaned Data'!$I:$I,$A10,'Cleaned Data'!$C:$C,J$3)</f>
        <v>0</v>
      </c>
      <c r="K10" s="86">
        <f>SUMIFS('Cleaned Data'!$J:$J,'Cleaned Data'!$I:$I,$A10,'Cleaned Data'!$C:$C,K$3)</f>
        <v>0</v>
      </c>
      <c r="L10" s="85">
        <f>SUMIFS('Cleaned Data'!$J:$J,'Cleaned Data'!$I:$I,$A10,'Cleaned Data'!$C:$C,L$3)</f>
        <v>3900</v>
      </c>
      <c r="M10" s="85">
        <f>SUMIFS('Cleaned Data'!$J:$J,'Cleaned Data'!$I:$I,$A10,'Cleaned Data'!$C:$C,M$3)</f>
        <v>5300</v>
      </c>
      <c r="N10" s="58">
        <f t="shared" si="0"/>
        <v>23700</v>
      </c>
      <c r="O10" s="56">
        <f t="shared" si="1"/>
        <v>2.0791297482235283E-2</v>
      </c>
      <c r="P10" s="2"/>
      <c r="Q10" s="2"/>
    </row>
    <row r="11" spans="1:17" ht="15" customHeight="1" x14ac:dyDescent="0.25">
      <c r="A11" s="50" t="str">
        <v>Shopping</v>
      </c>
      <c r="B11" s="85">
        <f>SUMIFS('Cleaned Data'!$J:$J,'Cleaned Data'!$I:$I,$A11,'Cleaned Data'!$C:$C,B$3)</f>
        <v>7400</v>
      </c>
      <c r="C11" s="86">
        <f>SUMIFS('Cleaned Data'!$J:$J,'Cleaned Data'!$I:$I,$A11,'Cleaned Data'!$C:$C,C$3)</f>
        <v>0</v>
      </c>
      <c r="D11" s="86">
        <f>SUMIFS('Cleaned Data'!$J:$J,'Cleaned Data'!$I:$I,$A11,'Cleaned Data'!$C:$C,D$3)</f>
        <v>0</v>
      </c>
      <c r="E11" s="86">
        <f>SUMIFS('Cleaned Data'!$J:$J,'Cleaned Data'!$I:$I,$A11,'Cleaned Data'!$C:$C,E$3)</f>
        <v>0</v>
      </c>
      <c r="F11" s="85">
        <f>SUMIFS('Cleaned Data'!$J:$J,'Cleaned Data'!$I:$I,$A11,'Cleaned Data'!$C:$C,F$3)</f>
        <v>16200</v>
      </c>
      <c r="G11" s="86">
        <f>SUMIFS('Cleaned Data'!$J:$J,'Cleaned Data'!$I:$I,$A11,'Cleaned Data'!$C:$C,G$3)</f>
        <v>0</v>
      </c>
      <c r="H11" s="85">
        <f>SUMIFS('Cleaned Data'!$J:$J,'Cleaned Data'!$I:$I,$A11,'Cleaned Data'!$C:$C,H$3)</f>
        <v>16000</v>
      </c>
      <c r="I11" s="85">
        <f>SUMIFS('Cleaned Data'!$J:$J,'Cleaned Data'!$I:$I,$A11,'Cleaned Data'!$C:$C,I$3)</f>
        <v>8400</v>
      </c>
      <c r="J11" s="86">
        <f>SUMIFS('Cleaned Data'!$J:$J,'Cleaned Data'!$I:$I,$A11,'Cleaned Data'!$C:$C,J$3)</f>
        <v>0</v>
      </c>
      <c r="K11" s="85">
        <f>SUMIFS('Cleaned Data'!$J:$J,'Cleaned Data'!$I:$I,$A11,'Cleaned Data'!$C:$C,K$3)</f>
        <v>23700</v>
      </c>
      <c r="L11" s="86">
        <f>SUMIFS('Cleaned Data'!$J:$J,'Cleaned Data'!$I:$I,$A11,'Cleaned Data'!$C:$C,L$3)</f>
        <v>0</v>
      </c>
      <c r="M11" s="85">
        <f>SUMIFS('Cleaned Data'!$J:$J,'Cleaned Data'!$I:$I,$A11,'Cleaned Data'!$C:$C,M$3)</f>
        <v>7200</v>
      </c>
      <c r="N11" s="58">
        <f t="shared" si="0"/>
        <v>78900</v>
      </c>
      <c r="O11" s="56">
        <f t="shared" si="1"/>
        <v>6.9216597947188346E-2</v>
      </c>
      <c r="P11" s="2"/>
      <c r="Q11" s="2"/>
    </row>
    <row r="12" spans="1:17" ht="15" customHeight="1" x14ac:dyDescent="0.25">
      <c r="A12" s="50" t="str">
        <v>Investment</v>
      </c>
      <c r="B12" s="86">
        <f>SUMIFS('Cleaned Data'!$J:$J,'Cleaned Data'!$I:$I,$A12,'Cleaned Data'!$C:$C,B$3)</f>
        <v>0</v>
      </c>
      <c r="C12" s="86">
        <f>SUMIFS('Cleaned Data'!$J:$J,'Cleaned Data'!$I:$I,$A12,'Cleaned Data'!$C:$C,C$3)</f>
        <v>0</v>
      </c>
      <c r="D12" s="85">
        <f>SUMIFS('Cleaned Data'!$J:$J,'Cleaned Data'!$I:$I,$A12,'Cleaned Data'!$C:$C,D$3)</f>
        <v>39000</v>
      </c>
      <c r="E12" s="85">
        <f>SUMIFS('Cleaned Data'!$J:$J,'Cleaned Data'!$I:$I,$A12,'Cleaned Data'!$C:$C,E$3)</f>
        <v>41000</v>
      </c>
      <c r="F12" s="86">
        <f>SUMIFS('Cleaned Data'!$J:$J,'Cleaned Data'!$I:$I,$A12,'Cleaned Data'!$C:$C,F$3)</f>
        <v>0</v>
      </c>
      <c r="G12" s="85">
        <f>SUMIFS('Cleaned Data'!$J:$J,'Cleaned Data'!$I:$I,$A12,'Cleaned Data'!$C:$C,G$3)</f>
        <v>31000</v>
      </c>
      <c r="H12" s="86">
        <f>SUMIFS('Cleaned Data'!$J:$J,'Cleaned Data'!$I:$I,$A12,'Cleaned Data'!$C:$C,H$3)</f>
        <v>0</v>
      </c>
      <c r="I12" s="85">
        <f>SUMIFS('Cleaned Data'!$J:$J,'Cleaned Data'!$I:$I,$A12,'Cleaned Data'!$C:$C,I$3)</f>
        <v>35000</v>
      </c>
      <c r="J12" s="85">
        <f>SUMIFS('Cleaned Data'!$J:$J,'Cleaned Data'!$I:$I,$A12,'Cleaned Data'!$C:$C,J$3)</f>
        <v>36000</v>
      </c>
      <c r="K12" s="86">
        <f>SUMIFS('Cleaned Data'!$J:$J,'Cleaned Data'!$I:$I,$A12,'Cleaned Data'!$C:$C,K$3)</f>
        <v>0</v>
      </c>
      <c r="L12" s="85">
        <f>SUMIFS('Cleaned Data'!$J:$J,'Cleaned Data'!$I:$I,$A12,'Cleaned Data'!$C:$C,L$3)</f>
        <v>125000</v>
      </c>
      <c r="M12" s="85">
        <f>SUMIFS('Cleaned Data'!$J:$J,'Cleaned Data'!$I:$I,$A12,'Cleaned Data'!$C:$C,M$3)</f>
        <v>37000</v>
      </c>
      <c r="N12" s="58">
        <f t="shared" si="0"/>
        <v>344000</v>
      </c>
      <c r="O12" s="56">
        <f t="shared" si="1"/>
        <v>0.30178085796999737</v>
      </c>
      <c r="P12" s="2"/>
      <c r="Q12" s="2"/>
    </row>
    <row r="13" spans="1:17" ht="15" customHeight="1" x14ac:dyDescent="0.25">
      <c r="A13" s="50" t="str">
        <v>Food</v>
      </c>
      <c r="B13" s="86">
        <f>SUMIFS('Cleaned Data'!$J:$J,'Cleaned Data'!$I:$I,$A13,'Cleaned Data'!$C:$C,B$3)</f>
        <v>0</v>
      </c>
      <c r="C13" s="86">
        <f>SUMIFS('Cleaned Data'!$J:$J,'Cleaned Data'!$I:$I,$A13,'Cleaned Data'!$C:$C,C$3)</f>
        <v>0</v>
      </c>
      <c r="D13" s="85">
        <f>SUMIFS('Cleaned Data'!$J:$J,'Cleaned Data'!$I:$I,$A13,'Cleaned Data'!$C:$C,D$3)</f>
        <v>13800</v>
      </c>
      <c r="E13" s="86">
        <f>SUMIFS('Cleaned Data'!$J:$J,'Cleaned Data'!$I:$I,$A13,'Cleaned Data'!$C:$C,E$3)</f>
        <v>0</v>
      </c>
      <c r="F13" s="86">
        <f>SUMIFS('Cleaned Data'!$J:$J,'Cleaned Data'!$I:$I,$A13,'Cleaned Data'!$C:$C,F$3)</f>
        <v>0</v>
      </c>
      <c r="G13" s="85">
        <f>SUMIFS('Cleaned Data'!$J:$J,'Cleaned Data'!$I:$I,$A13,'Cleaned Data'!$C:$C,G$3)</f>
        <v>5900</v>
      </c>
      <c r="H13" s="86">
        <f>SUMIFS('Cleaned Data'!$J:$J,'Cleaned Data'!$I:$I,$A13,'Cleaned Data'!$C:$C,H$3)</f>
        <v>0</v>
      </c>
      <c r="I13" s="85">
        <f>SUMIFS('Cleaned Data'!$J:$J,'Cleaned Data'!$I:$I,$A13,'Cleaned Data'!$C:$C,I$3)</f>
        <v>6300</v>
      </c>
      <c r="J13" s="86">
        <f>SUMIFS('Cleaned Data'!$J:$J,'Cleaned Data'!$I:$I,$A13,'Cleaned Data'!$C:$C,J$3)</f>
        <v>0</v>
      </c>
      <c r="K13" s="85">
        <f>SUMIFS('Cleaned Data'!$J:$J,'Cleaned Data'!$I:$I,$A13,'Cleaned Data'!$C:$C,K$3)</f>
        <v>3900</v>
      </c>
      <c r="L13" s="86">
        <f>SUMIFS('Cleaned Data'!$J:$J,'Cleaned Data'!$I:$I,$A13,'Cleaned Data'!$C:$C,L$3)</f>
        <v>0</v>
      </c>
      <c r="M13" s="85">
        <f>SUMIFS('Cleaned Data'!$J:$J,'Cleaned Data'!$I:$I,$A13,'Cleaned Data'!$C:$C,M$3)</f>
        <v>11400</v>
      </c>
      <c r="N13" s="58">
        <f t="shared" si="0"/>
        <v>41300</v>
      </c>
      <c r="O13" s="56">
        <f t="shared" si="1"/>
        <v>3.6231248355118872E-2</v>
      </c>
      <c r="P13" s="2"/>
      <c r="Q13" s="2"/>
    </row>
    <row r="14" spans="1:17" ht="15" customHeight="1" x14ac:dyDescent="0.25">
      <c r="A14" s="50" t="str">
        <v>Transport</v>
      </c>
      <c r="B14" s="86">
        <f>SUMIFS('Cleaned Data'!$J:$J,'Cleaned Data'!$I:$I,$A14,'Cleaned Data'!$C:$C,B$3)</f>
        <v>0</v>
      </c>
      <c r="C14" s="85">
        <f>SUMIFS('Cleaned Data'!$J:$J,'Cleaned Data'!$I:$I,$A14,'Cleaned Data'!$C:$C,C$3)</f>
        <v>4300</v>
      </c>
      <c r="D14" s="86">
        <f>SUMIFS('Cleaned Data'!$J:$J,'Cleaned Data'!$I:$I,$A14,'Cleaned Data'!$C:$C,D$3)</f>
        <v>0</v>
      </c>
      <c r="E14" s="85">
        <f>SUMIFS('Cleaned Data'!$J:$J,'Cleaned Data'!$I:$I,$A14,'Cleaned Data'!$C:$C,E$3)</f>
        <v>4800</v>
      </c>
      <c r="F14" s="85">
        <f>SUMIFS('Cleaned Data'!$J:$J,'Cleaned Data'!$I:$I,$A14,'Cleaned Data'!$C:$C,F$3)</f>
        <v>9200</v>
      </c>
      <c r="G14" s="85">
        <f>SUMIFS('Cleaned Data'!$J:$J,'Cleaned Data'!$I:$I,$A14,'Cleaned Data'!$C:$C,G$3)</f>
        <v>4800</v>
      </c>
      <c r="H14" s="86">
        <f>SUMIFS('Cleaned Data'!$J:$J,'Cleaned Data'!$I:$I,$A14,'Cleaned Data'!$C:$C,H$3)</f>
        <v>0</v>
      </c>
      <c r="I14" s="86">
        <f>SUMIFS('Cleaned Data'!$J:$J,'Cleaned Data'!$I:$I,$A14,'Cleaned Data'!$C:$C,I$3)</f>
        <v>0</v>
      </c>
      <c r="J14" s="86">
        <f>SUMIFS('Cleaned Data'!$J:$J,'Cleaned Data'!$I:$I,$A14,'Cleaned Data'!$C:$C,J$3)</f>
        <v>0</v>
      </c>
      <c r="K14" s="86">
        <f>SUMIFS('Cleaned Data'!$J:$J,'Cleaned Data'!$I:$I,$A14,'Cleaned Data'!$C:$C,K$3)</f>
        <v>0</v>
      </c>
      <c r="L14" s="86">
        <f>SUMIFS('Cleaned Data'!$J:$J,'Cleaned Data'!$I:$I,$A14,'Cleaned Data'!$C:$C,L$3)</f>
        <v>0</v>
      </c>
      <c r="M14" s="86">
        <f>SUMIFS('Cleaned Data'!$J:$J,'Cleaned Data'!$I:$I,$A14,'Cleaned Data'!$C:$C,M$3)</f>
        <v>0</v>
      </c>
      <c r="N14" s="58">
        <f t="shared" si="0"/>
        <v>23100</v>
      </c>
      <c r="O14" s="56">
        <f t="shared" si="1"/>
        <v>2.0264935520659708E-2</v>
      </c>
      <c r="P14" s="2"/>
      <c r="Q14" s="2"/>
    </row>
    <row r="15" spans="1:17" ht="15" customHeight="1" x14ac:dyDescent="0.25">
      <c r="A15" s="50" t="str">
        <v>Travel</v>
      </c>
      <c r="B15" s="86">
        <f>SUMIFS('Cleaned Data'!$J:$J,'Cleaned Data'!$I:$I,$A15,'Cleaned Data'!$C:$C,B$3)</f>
        <v>0</v>
      </c>
      <c r="C15" s="85">
        <f>SUMIFS('Cleaned Data'!$J:$J,'Cleaned Data'!$I:$I,$A15,'Cleaned Data'!$C:$C,C$3)</f>
        <v>19500</v>
      </c>
      <c r="D15" s="86">
        <f>SUMIFS('Cleaned Data'!$J:$J,'Cleaned Data'!$I:$I,$A15,'Cleaned Data'!$C:$C,D$3)</f>
        <v>0</v>
      </c>
      <c r="E15" s="86">
        <f>SUMIFS('Cleaned Data'!$J:$J,'Cleaned Data'!$I:$I,$A15,'Cleaned Data'!$C:$C,E$3)</f>
        <v>0</v>
      </c>
      <c r="F15" s="86">
        <f>SUMIFS('Cleaned Data'!$J:$J,'Cleaned Data'!$I:$I,$A15,'Cleaned Data'!$C:$C,F$3)</f>
        <v>0</v>
      </c>
      <c r="G15" s="86">
        <f>SUMIFS('Cleaned Data'!$J:$J,'Cleaned Data'!$I:$I,$A15,'Cleaned Data'!$C:$C,G$3)</f>
        <v>0</v>
      </c>
      <c r="H15" s="86">
        <f>SUMIFS('Cleaned Data'!$J:$J,'Cleaned Data'!$I:$I,$A15,'Cleaned Data'!$C:$C,H$3)</f>
        <v>0</v>
      </c>
      <c r="I15" s="85">
        <f>SUMIFS('Cleaned Data'!$J:$J,'Cleaned Data'!$I:$I,$A15,'Cleaned Data'!$C:$C,I$3)</f>
        <v>10400</v>
      </c>
      <c r="J15" s="85">
        <f>SUMIFS('Cleaned Data'!$J:$J,'Cleaned Data'!$I:$I,$A15,'Cleaned Data'!$C:$C,J$3)</f>
        <v>18900</v>
      </c>
      <c r="K15" s="85">
        <f>SUMIFS('Cleaned Data'!$J:$J,'Cleaned Data'!$I:$I,$A15,'Cleaned Data'!$C:$C,K$3)</f>
        <v>10200</v>
      </c>
      <c r="L15" s="85">
        <f>SUMIFS('Cleaned Data'!$J:$J,'Cleaned Data'!$I:$I,$A15,'Cleaned Data'!$C:$C,L$3)</f>
        <v>11200</v>
      </c>
      <c r="M15" s="86">
        <f>SUMIFS('Cleaned Data'!$J:$J,'Cleaned Data'!$I:$I,$A15,'Cleaned Data'!$C:$C,M$3)</f>
        <v>0</v>
      </c>
      <c r="N15" s="58">
        <f t="shared" si="0"/>
        <v>70200</v>
      </c>
      <c r="O15" s="56">
        <f t="shared" si="1"/>
        <v>6.1584349504342488E-2</v>
      </c>
      <c r="P15" s="2"/>
      <c r="Q15" s="2"/>
    </row>
    <row r="16" spans="1:17" ht="15" customHeight="1" x14ac:dyDescent="0.25">
      <c r="A16" s="49" t="s">
        <v>296</v>
      </c>
      <c r="B16" s="59">
        <f>SUM(B4:B15)</f>
        <v>112500</v>
      </c>
      <c r="C16" s="59">
        <f t="shared" ref="C16:M16" si="2">SUM(C4:C15)</f>
        <v>99100</v>
      </c>
      <c r="D16" s="59">
        <f t="shared" si="2"/>
        <v>71700</v>
      </c>
      <c r="E16" s="59">
        <f t="shared" si="2"/>
        <v>81700</v>
      </c>
      <c r="F16" s="59">
        <f t="shared" si="2"/>
        <v>50100</v>
      </c>
      <c r="G16" s="59">
        <f t="shared" si="2"/>
        <v>109500</v>
      </c>
      <c r="H16" s="59">
        <f t="shared" si="2"/>
        <v>103300</v>
      </c>
      <c r="I16" s="59">
        <f t="shared" si="2"/>
        <v>118900</v>
      </c>
      <c r="J16" s="59">
        <f t="shared" si="2"/>
        <v>95000</v>
      </c>
      <c r="K16" s="59">
        <f t="shared" si="2"/>
        <v>67500</v>
      </c>
      <c r="L16" s="59">
        <f t="shared" si="2"/>
        <v>148300</v>
      </c>
      <c r="M16" s="59">
        <f t="shared" si="2"/>
        <v>82300</v>
      </c>
      <c r="N16" s="60">
        <f>SUM(N4:N15)</f>
        <v>1139900</v>
      </c>
      <c r="O16" s="57">
        <f t="shared" si="1"/>
        <v>1</v>
      </c>
      <c r="P16" s="2"/>
      <c r="Q16" s="2"/>
    </row>
    <row r="17" spans="1:17" ht="1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ht="1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ht="1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ht="1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ht="1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ht="1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ht="1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ht="1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ht="1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ht="1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ht="1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ht="1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ht="1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ht="1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ht="1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ht="1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ht="1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ht="1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ht="1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ht="1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ht="1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ht="1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ht="1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ht="1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ht="1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ht="1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ht="1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ht="1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ht="1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ht="1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ht="1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ht="1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ht="1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ht="1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ht="1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ht="1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ht="1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ht="1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ht="1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ht="1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ht="1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ht="1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ht="1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</sheetData>
  <mergeCells count="1">
    <mergeCell ref="A1:N1"/>
  </mergeCells>
  <hyperlinks>
    <hyperlink ref="O1" location="'Welcome Page'!A1" display="Go to Welcome Page"/>
  </hyperlink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O59"/>
  <sheetViews>
    <sheetView showGridLines="0" zoomScaleNormal="100" workbookViewId="0">
      <selection activeCell="E20" sqref="E20"/>
    </sheetView>
  </sheetViews>
  <sheetFormatPr defaultColWidth="8.7109375" defaultRowHeight="15" x14ac:dyDescent="0.25"/>
  <cols>
    <col min="1" max="1" width="29.85546875" style="1" customWidth="1"/>
    <col min="2" max="2" width="31" style="1" customWidth="1"/>
    <col min="3" max="3" width="24.28515625" style="1" customWidth="1"/>
    <col min="4" max="4" width="24" style="1" customWidth="1"/>
    <col min="5" max="5" width="13.7109375" style="1" customWidth="1"/>
    <col min="6" max="6" width="39.28515625" style="1" customWidth="1"/>
    <col min="7" max="7" width="6.42578125" customWidth="1"/>
  </cols>
  <sheetData>
    <row r="1" spans="1:15" ht="45" customHeight="1" x14ac:dyDescent="0.25">
      <c r="A1" s="158" t="s">
        <v>301</v>
      </c>
      <c r="B1" s="158"/>
      <c r="C1" s="158"/>
      <c r="D1" s="158"/>
      <c r="E1" s="158"/>
      <c r="F1" s="158"/>
      <c r="G1" s="61"/>
      <c r="H1" s="61"/>
      <c r="I1" s="61"/>
      <c r="J1" s="61"/>
      <c r="K1" s="61"/>
      <c r="L1" s="61"/>
      <c r="M1" s="61"/>
      <c r="N1" s="61"/>
      <c r="O1" s="61"/>
    </row>
    <row r="2" spans="1:15" ht="15" customHeight="1" x14ac:dyDescent="0.25">
      <c r="A2" s="157" t="s">
        <v>302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</row>
    <row r="3" spans="1:15" ht="15" customHeight="1" x14ac:dyDescent="0.25">
      <c r="A3" s="49" t="s">
        <v>286</v>
      </c>
      <c r="B3" s="49" t="s">
        <v>303</v>
      </c>
      <c r="C3" s="49" t="s">
        <v>304</v>
      </c>
      <c r="D3" s="49" t="s">
        <v>305</v>
      </c>
      <c r="E3" s="49" t="s">
        <v>306</v>
      </c>
      <c r="F3" s="49" t="s">
        <v>307</v>
      </c>
      <c r="G3" s="62"/>
      <c r="H3" s="62"/>
      <c r="I3" s="62"/>
      <c r="J3" s="62"/>
      <c r="K3" s="62"/>
      <c r="L3" s="62"/>
      <c r="M3" s="62"/>
      <c r="N3" s="62"/>
      <c r="O3" s="62"/>
    </row>
    <row r="4" spans="1:15" ht="15" customHeight="1" x14ac:dyDescent="0.25">
      <c r="A4" s="63" t="s">
        <v>100</v>
      </c>
      <c r="B4" s="69">
        <v>412800</v>
      </c>
      <c r="C4" s="79">
        <f>SUMIF('Cleaned Data'!I3:I100,'Budget Analysis'!A4,'Cleaned Data'!J3:J100)</f>
        <v>344000</v>
      </c>
      <c r="D4" s="80">
        <f t="shared" ref="D4:D15" si="0">B4-C4</f>
        <v>68800</v>
      </c>
      <c r="E4" s="81">
        <f>IF(B4=0,0,(B4-C4)/B4)</f>
        <v>0.16666666666666666</v>
      </c>
      <c r="F4" s="64" t="str">
        <f t="shared" ref="F4:F15" si="1">IF(D4&gt;=0,"✅ Under Budget","⚠️ Over Budget")</f>
        <v>✅ Under Budget</v>
      </c>
      <c r="G4" s="62"/>
      <c r="H4" s="62"/>
      <c r="I4" s="62"/>
      <c r="J4" s="62"/>
      <c r="K4" s="62"/>
      <c r="L4" s="62"/>
      <c r="M4" s="62"/>
      <c r="N4" s="62"/>
      <c r="O4" s="62"/>
    </row>
    <row r="5" spans="1:15" ht="15" customHeight="1" x14ac:dyDescent="0.25">
      <c r="A5" s="63" t="s">
        <v>43</v>
      </c>
      <c r="B5" s="70">
        <v>362400</v>
      </c>
      <c r="C5" s="82">
        <f>SUMIF('Cleaned Data'!I4:I101,'Budget Analysis'!A5,'Cleaned Data'!J4:J101)</f>
        <v>309000</v>
      </c>
      <c r="D5" s="83">
        <f t="shared" si="0"/>
        <v>53400</v>
      </c>
      <c r="E5" s="84">
        <f t="shared" ref="E5:E15" si="2">IF(B5=0,0,(B5-C5)/B5)</f>
        <v>0.14735099337748345</v>
      </c>
      <c r="F5" s="65" t="str">
        <f t="shared" si="1"/>
        <v>✅ Under Budget</v>
      </c>
      <c r="G5" s="62"/>
      <c r="H5" s="62"/>
      <c r="I5" s="62"/>
      <c r="J5" s="62"/>
      <c r="K5" s="62"/>
      <c r="L5" s="62"/>
      <c r="M5" s="62"/>
      <c r="N5" s="62"/>
      <c r="O5" s="62"/>
    </row>
    <row r="6" spans="1:15" ht="15" customHeight="1" x14ac:dyDescent="0.25">
      <c r="A6" s="63" t="s">
        <v>96</v>
      </c>
      <c r="B6" s="69">
        <v>94700</v>
      </c>
      <c r="C6" s="79">
        <f>SUMIF('Cleaned Data'!I5:I102,'Budget Analysis'!A6,'Cleaned Data'!J5:J102)</f>
        <v>78900</v>
      </c>
      <c r="D6" s="80">
        <f t="shared" si="0"/>
        <v>15800</v>
      </c>
      <c r="E6" s="81">
        <f t="shared" si="2"/>
        <v>0.16684266103484688</v>
      </c>
      <c r="F6" s="64" t="str">
        <f t="shared" si="1"/>
        <v>✅ Under Budget</v>
      </c>
      <c r="G6" s="62"/>
      <c r="H6" s="62"/>
      <c r="I6" s="62"/>
      <c r="J6" s="62"/>
      <c r="K6" s="62"/>
      <c r="L6" s="62"/>
      <c r="M6" s="62"/>
      <c r="N6" s="62"/>
      <c r="O6" s="62"/>
    </row>
    <row r="7" spans="1:15" ht="15" customHeight="1" x14ac:dyDescent="0.25">
      <c r="A7" s="63" t="s">
        <v>139</v>
      </c>
      <c r="B7" s="70">
        <v>60000</v>
      </c>
      <c r="C7" s="82">
        <f>SUMIF('Cleaned Data'!I6:I103,'Budget Analysis'!A7,'Cleaned Data'!J6:J103)</f>
        <v>70200</v>
      </c>
      <c r="D7" s="83">
        <f t="shared" si="0"/>
        <v>-10200</v>
      </c>
      <c r="E7" s="84">
        <f t="shared" si="2"/>
        <v>-0.17</v>
      </c>
      <c r="F7" s="65" t="str">
        <f>IF(D7&gt;=0,"✅ Under Budget","⚠️ Over Budget")</f>
        <v>⚠️ Over Budget</v>
      </c>
      <c r="G7" s="62"/>
      <c r="H7" s="62"/>
      <c r="I7" s="62"/>
      <c r="J7" s="62"/>
      <c r="K7" s="62"/>
      <c r="L7" s="62"/>
      <c r="M7" s="62"/>
      <c r="N7" s="62"/>
      <c r="O7" s="62"/>
    </row>
    <row r="8" spans="1:15" ht="15" customHeight="1" x14ac:dyDescent="0.25">
      <c r="A8" s="63" t="s">
        <v>308</v>
      </c>
      <c r="B8" s="69">
        <v>70100</v>
      </c>
      <c r="C8" s="79">
        <f>SUMIF('Cleaned Data'!I7:I104,'Budget Analysis'!A8,'Cleaned Data'!J7:J104)</f>
        <v>55200</v>
      </c>
      <c r="D8" s="80">
        <f t="shared" si="0"/>
        <v>14900</v>
      </c>
      <c r="E8" s="81">
        <f t="shared" si="2"/>
        <v>0.21255349500713266</v>
      </c>
      <c r="F8" s="64" t="str">
        <f t="shared" si="1"/>
        <v>✅ Under Budget</v>
      </c>
      <c r="G8" s="62"/>
      <c r="H8" s="62"/>
      <c r="I8" s="62"/>
      <c r="J8" s="62"/>
      <c r="K8" s="62"/>
      <c r="L8" s="62"/>
      <c r="M8" s="62"/>
      <c r="N8" s="62"/>
      <c r="O8" s="62"/>
    </row>
    <row r="9" spans="1:15" ht="15" customHeight="1" x14ac:dyDescent="0.25">
      <c r="A9" s="63" t="s">
        <v>77</v>
      </c>
      <c r="B9" s="70">
        <v>67200</v>
      </c>
      <c r="C9" s="82">
        <f>SUMIF('Cleaned Data'!I8:I105,'Budget Analysis'!A9,'Cleaned Data'!J8:J105)</f>
        <v>56000</v>
      </c>
      <c r="D9" s="83">
        <f t="shared" si="0"/>
        <v>11200</v>
      </c>
      <c r="E9" s="84">
        <f t="shared" si="2"/>
        <v>0.16666666666666666</v>
      </c>
      <c r="F9" s="65" t="str">
        <f t="shared" si="1"/>
        <v>✅ Under Budget</v>
      </c>
      <c r="G9" s="62"/>
      <c r="H9" s="62"/>
      <c r="I9" s="62"/>
      <c r="J9" s="62"/>
      <c r="K9" s="62"/>
      <c r="L9" s="62"/>
      <c r="M9" s="62"/>
      <c r="N9" s="62"/>
      <c r="O9" s="62"/>
    </row>
    <row r="10" spans="1:15" ht="15" customHeight="1" x14ac:dyDescent="0.25">
      <c r="A10" s="63" t="s">
        <v>64</v>
      </c>
      <c r="B10" s="69">
        <v>35000</v>
      </c>
      <c r="C10" s="79">
        <f>SUMIF('Cleaned Data'!I9:I106,'Budget Analysis'!A10,'Cleaned Data'!J9:J106)</f>
        <v>39400</v>
      </c>
      <c r="D10" s="80">
        <f t="shared" si="0"/>
        <v>-4400</v>
      </c>
      <c r="E10" s="81">
        <f t="shared" si="2"/>
        <v>-0.12571428571428572</v>
      </c>
      <c r="F10" s="64" t="str">
        <f t="shared" si="1"/>
        <v>⚠️ Over Budget</v>
      </c>
      <c r="G10" s="62"/>
      <c r="H10" s="62"/>
      <c r="I10" s="62"/>
      <c r="J10" s="62"/>
      <c r="K10" s="62"/>
      <c r="L10" s="62"/>
      <c r="M10" s="62"/>
      <c r="N10" s="62"/>
      <c r="O10" s="62"/>
    </row>
    <row r="11" spans="1:15" ht="15" customHeight="1" x14ac:dyDescent="0.25">
      <c r="A11" s="63" t="s">
        <v>105</v>
      </c>
      <c r="B11" s="70">
        <v>49600</v>
      </c>
      <c r="C11" s="82">
        <f>SUMIF('Cleaned Data'!I10:I107,'Budget Analysis'!A11,'Cleaned Data'!J10:J107)</f>
        <v>41300</v>
      </c>
      <c r="D11" s="83">
        <f t="shared" si="0"/>
        <v>8300</v>
      </c>
      <c r="E11" s="84">
        <f t="shared" si="2"/>
        <v>0.16733870967741934</v>
      </c>
      <c r="F11" s="65" t="str">
        <f t="shared" si="1"/>
        <v>✅ Under Budget</v>
      </c>
      <c r="G11" s="62"/>
      <c r="H11" s="62"/>
      <c r="I11" s="62"/>
      <c r="J11" s="62"/>
      <c r="K11" s="62"/>
      <c r="L11" s="62"/>
      <c r="M11" s="62"/>
      <c r="N11" s="62"/>
      <c r="O11" s="62"/>
    </row>
    <row r="12" spans="1:15" ht="15" customHeight="1" x14ac:dyDescent="0.25">
      <c r="A12" s="63" t="s">
        <v>51</v>
      </c>
      <c r="B12" s="69">
        <v>46200</v>
      </c>
      <c r="C12" s="79">
        <f>SUMIF('Cleaned Data'!I11:I108,'Budget Analysis'!A12,'Cleaned Data'!J11:J108)</f>
        <v>32000</v>
      </c>
      <c r="D12" s="80">
        <f t="shared" si="0"/>
        <v>14200</v>
      </c>
      <c r="E12" s="81">
        <f t="shared" si="2"/>
        <v>0.30735930735930733</v>
      </c>
      <c r="F12" s="64" t="str">
        <f t="shared" si="1"/>
        <v>✅ Under Budget</v>
      </c>
      <c r="G12" s="62"/>
      <c r="H12" s="62"/>
      <c r="I12" s="62"/>
      <c r="J12" s="62"/>
      <c r="K12" s="62"/>
      <c r="L12" s="62"/>
      <c r="M12" s="62"/>
      <c r="N12" s="62"/>
      <c r="O12" s="62"/>
    </row>
    <row r="13" spans="1:15" ht="15" customHeight="1" x14ac:dyDescent="0.25">
      <c r="A13" s="63" t="s">
        <v>71</v>
      </c>
      <c r="B13" s="70">
        <v>20000</v>
      </c>
      <c r="C13" s="82">
        <f>SUMIF('Cleaned Data'!I12:I109,'Budget Analysis'!A13,'Cleaned Data'!J12:J109)</f>
        <v>26400</v>
      </c>
      <c r="D13" s="83">
        <f t="shared" si="0"/>
        <v>-6400</v>
      </c>
      <c r="E13" s="84">
        <f t="shared" si="2"/>
        <v>-0.32</v>
      </c>
      <c r="F13" s="65" t="str">
        <f t="shared" si="1"/>
        <v>⚠️ Over Budget</v>
      </c>
      <c r="G13" s="62"/>
      <c r="H13" s="62"/>
      <c r="I13" s="62"/>
      <c r="J13" s="62"/>
      <c r="K13" s="62"/>
      <c r="L13" s="62"/>
      <c r="M13" s="62"/>
      <c r="N13" s="62"/>
      <c r="O13" s="62"/>
    </row>
    <row r="14" spans="1:15" ht="15" customHeight="1" x14ac:dyDescent="0.25">
      <c r="A14" s="63" t="s">
        <v>87</v>
      </c>
      <c r="B14" s="69">
        <v>28400</v>
      </c>
      <c r="C14" s="79">
        <f>SUMIF('Cleaned Data'!I13:I110,'Budget Analysis'!A14,'Cleaned Data'!J13:J110)</f>
        <v>19200</v>
      </c>
      <c r="D14" s="80">
        <f t="shared" si="0"/>
        <v>9200</v>
      </c>
      <c r="E14" s="81">
        <f t="shared" si="2"/>
        <v>0.323943661971831</v>
      </c>
      <c r="F14" s="64" t="str">
        <f t="shared" si="1"/>
        <v>✅ Under Budget</v>
      </c>
      <c r="G14" s="62"/>
      <c r="H14" s="62"/>
      <c r="I14" s="62"/>
      <c r="J14" s="62"/>
      <c r="K14" s="62"/>
      <c r="L14" s="62"/>
      <c r="M14" s="62"/>
      <c r="N14" s="62"/>
      <c r="O14" s="62"/>
    </row>
    <row r="15" spans="1:15" ht="15" customHeight="1" x14ac:dyDescent="0.25">
      <c r="A15" s="63" t="s">
        <v>116</v>
      </c>
      <c r="B15" s="70">
        <v>27700</v>
      </c>
      <c r="C15" s="82">
        <f>SUMIF('Cleaned Data'!I14:I111,'Budget Analysis'!A15,'Cleaned Data'!J14:J111)</f>
        <v>23100</v>
      </c>
      <c r="D15" s="83">
        <f t="shared" si="0"/>
        <v>4600</v>
      </c>
      <c r="E15" s="84">
        <f t="shared" si="2"/>
        <v>0.16606498194945848</v>
      </c>
      <c r="F15" s="65" t="str">
        <f t="shared" si="1"/>
        <v>✅ Under Budget</v>
      </c>
      <c r="G15" s="62"/>
      <c r="H15" s="62"/>
      <c r="I15" s="62"/>
      <c r="J15" s="62"/>
      <c r="K15" s="62"/>
      <c r="L15" s="62"/>
      <c r="M15" s="62"/>
      <c r="N15" s="62"/>
      <c r="O15" s="62"/>
    </row>
    <row r="16" spans="1:15" ht="15" customHeight="1" x14ac:dyDescent="0.25">
      <c r="A16" s="66" t="s">
        <v>296</v>
      </c>
      <c r="B16" s="59">
        <f>SUM(B4:B15)</f>
        <v>1274100</v>
      </c>
      <c r="C16" s="59">
        <f>SUM(C4:C15)</f>
        <v>1094700</v>
      </c>
      <c r="D16" s="71">
        <f>SUM(D4:D15)</f>
        <v>179400</v>
      </c>
      <c r="E16" s="67">
        <f>IF(B16=0,0,(B16-C16)/B16)</f>
        <v>0.14080527431127854</v>
      </c>
      <c r="F16" s="68"/>
      <c r="G16" s="62"/>
      <c r="H16" s="62"/>
      <c r="I16" s="62"/>
      <c r="J16" s="62"/>
      <c r="K16" s="62"/>
      <c r="L16" s="62"/>
      <c r="M16" s="62"/>
      <c r="N16" s="62"/>
      <c r="O16" s="62"/>
    </row>
    <row r="17" spans="1:15" ht="1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ht="1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ht="1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ht="1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ht="1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ht="1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ht="1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1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ht="1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ht="1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ht="1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ht="1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ht="1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ht="1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ht="1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ht="1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ht="1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ht="1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ht="1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ht="1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ht="1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ht="1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ht="1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ht="1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t="1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t="1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ht="1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ht="1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1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ht="1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ht="1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t="1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ht="1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</sheetData>
  <mergeCells count="2">
    <mergeCell ref="A2:O2"/>
    <mergeCell ref="A1:F1"/>
  </mergeCells>
  <conditionalFormatting sqref="F4:F15">
    <cfRule type="cellIs" dxfId="1" priority="2" operator="equal">
      <formula>"Over Budget"</formula>
    </cfRule>
    <cfRule type="cellIs" dxfId="0" priority="1" operator="equal">
      <formula>"⚠️ Over Budget"</formula>
    </cfRule>
  </conditionalFormatting>
  <pageMargins left="0.75" right="0.75" top="1" bottom="1" header="0.511811023622047" footer="0.511811023622047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O26"/>
  <sheetViews>
    <sheetView showGridLines="0" tabSelected="1" topLeftCell="C1" zoomScaleNormal="100" workbookViewId="0">
      <selection activeCell="Q17" sqref="A1:XFD1048576"/>
    </sheetView>
  </sheetViews>
  <sheetFormatPr defaultColWidth="8.7109375" defaultRowHeight="15" x14ac:dyDescent="0.25"/>
  <cols>
    <col min="1" max="1" width="14" style="1" customWidth="1"/>
    <col min="2" max="6" width="16" style="1" customWidth="1"/>
    <col min="8" max="8" width="18" style="1" customWidth="1"/>
    <col min="9" max="9" width="14" style="1" customWidth="1"/>
    <col min="11" max="11" width="18" style="1" customWidth="1"/>
    <col min="12" max="12" width="18.7109375" style="1" customWidth="1"/>
  </cols>
  <sheetData>
    <row r="1" spans="1:15" ht="36" customHeight="1" x14ac:dyDescent="0.25">
      <c r="A1" s="159" t="s">
        <v>19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99" t="s">
        <v>22</v>
      </c>
      <c r="M1" s="200"/>
      <c r="N1" s="40"/>
      <c r="O1" s="40"/>
    </row>
    <row r="2" spans="1:15" ht="14.25" customHeight="1" x14ac:dyDescent="0.25">
      <c r="A2" s="161"/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3"/>
      <c r="M2" s="40"/>
      <c r="N2" s="40"/>
      <c r="O2" s="40"/>
    </row>
    <row r="3" spans="1:15" ht="15" customHeight="1" x14ac:dyDescent="0.25">
      <c r="A3" s="72" t="s">
        <v>25</v>
      </c>
      <c r="B3" s="72" t="s">
        <v>309</v>
      </c>
      <c r="C3" s="72" t="s">
        <v>310</v>
      </c>
      <c r="D3" s="72" t="s">
        <v>311</v>
      </c>
      <c r="E3" s="72" t="s">
        <v>312</v>
      </c>
      <c r="F3" s="72" t="s">
        <v>313</v>
      </c>
      <c r="G3" s="73"/>
      <c r="H3" s="74" t="s">
        <v>286</v>
      </c>
      <c r="I3" s="74" t="s">
        <v>314</v>
      </c>
      <c r="J3" s="73"/>
      <c r="K3" s="74" t="s">
        <v>29</v>
      </c>
      <c r="L3" s="74" t="s">
        <v>309</v>
      </c>
      <c r="M3" s="40"/>
      <c r="N3" s="40"/>
      <c r="O3" s="40"/>
    </row>
    <row r="4" spans="1:15" ht="15" customHeight="1" x14ac:dyDescent="0.25">
      <c r="A4" s="75" t="s">
        <v>39</v>
      </c>
      <c r="B4" s="87">
        <v>605000</v>
      </c>
      <c r="C4" s="88">
        <v>112500</v>
      </c>
      <c r="D4" s="87">
        <v>106700</v>
      </c>
      <c r="E4" s="88">
        <v>45300</v>
      </c>
      <c r="F4" s="89">
        <f>B4-(C4+D4+E4)</f>
        <v>340500</v>
      </c>
      <c r="G4" s="73"/>
      <c r="H4" s="76" t="s">
        <v>100</v>
      </c>
      <c r="I4" s="92">
        <v>344000</v>
      </c>
      <c r="J4" s="73"/>
      <c r="K4" s="76" t="s">
        <v>42</v>
      </c>
      <c r="L4" s="92">
        <v>3235000</v>
      </c>
      <c r="M4" s="40"/>
      <c r="N4" s="40"/>
      <c r="O4" s="40"/>
    </row>
    <row r="5" spans="1:15" ht="15" customHeight="1" x14ac:dyDescent="0.25">
      <c r="A5" s="75" t="s">
        <v>47</v>
      </c>
      <c r="B5" s="87">
        <v>681000</v>
      </c>
      <c r="C5" s="88">
        <v>99100</v>
      </c>
      <c r="D5" s="87">
        <v>148000</v>
      </c>
      <c r="E5" s="88">
        <v>63000</v>
      </c>
      <c r="F5" s="89">
        <f t="shared" ref="F5:F15" si="0">B5-(C5+D5+E5)</f>
        <v>370900</v>
      </c>
      <c r="G5" s="73"/>
      <c r="H5" s="77" t="s">
        <v>43</v>
      </c>
      <c r="I5" s="93">
        <v>302000</v>
      </c>
      <c r="J5" s="73"/>
      <c r="K5" s="77" t="s">
        <v>63</v>
      </c>
      <c r="L5" s="93">
        <v>2487000</v>
      </c>
      <c r="M5" s="40"/>
      <c r="N5" s="40"/>
      <c r="O5" s="40"/>
    </row>
    <row r="6" spans="1:15" ht="15" customHeight="1" x14ac:dyDescent="0.25">
      <c r="A6" s="75" t="s">
        <v>55</v>
      </c>
      <c r="B6" s="87">
        <v>570000</v>
      </c>
      <c r="C6" s="88">
        <v>71700</v>
      </c>
      <c r="D6" s="87">
        <v>120200</v>
      </c>
      <c r="E6" s="88">
        <v>42000</v>
      </c>
      <c r="F6" s="89">
        <f t="shared" si="0"/>
        <v>336100</v>
      </c>
      <c r="G6" s="73"/>
      <c r="H6" s="76" t="s">
        <v>96</v>
      </c>
      <c r="I6" s="92">
        <v>78900</v>
      </c>
      <c r="J6" s="73"/>
      <c r="K6" s="76" t="s">
        <v>50</v>
      </c>
      <c r="L6" s="92">
        <v>992000</v>
      </c>
      <c r="M6" s="40"/>
      <c r="N6" s="40"/>
      <c r="O6" s="40"/>
    </row>
    <row r="7" spans="1:15" ht="15" customHeight="1" x14ac:dyDescent="0.25">
      <c r="A7" s="75" t="s">
        <v>60</v>
      </c>
      <c r="B7" s="87">
        <v>817000</v>
      </c>
      <c r="C7" s="88">
        <v>81700</v>
      </c>
      <c r="D7" s="87">
        <v>220000</v>
      </c>
      <c r="E7" s="88">
        <v>73000</v>
      </c>
      <c r="F7" s="89">
        <f t="shared" si="0"/>
        <v>442300</v>
      </c>
      <c r="G7" s="73"/>
      <c r="H7" s="77" t="s">
        <v>139</v>
      </c>
      <c r="I7" s="93">
        <v>70200</v>
      </c>
      <c r="J7" s="73"/>
      <c r="K7" s="77" t="s">
        <v>308</v>
      </c>
      <c r="L7" s="93">
        <v>916000</v>
      </c>
      <c r="M7" s="40"/>
      <c r="N7" s="40"/>
      <c r="O7" s="40"/>
    </row>
    <row r="8" spans="1:15" ht="15" customHeight="1" x14ac:dyDescent="0.25">
      <c r="A8" s="75" t="s">
        <v>68</v>
      </c>
      <c r="B8" s="87">
        <v>552000</v>
      </c>
      <c r="C8" s="88">
        <v>50100</v>
      </c>
      <c r="D8" s="87">
        <v>90500</v>
      </c>
      <c r="E8" s="88">
        <v>37000</v>
      </c>
      <c r="F8" s="89">
        <f t="shared" si="0"/>
        <v>374400</v>
      </c>
      <c r="G8" s="73"/>
      <c r="H8" s="76" t="s">
        <v>308</v>
      </c>
      <c r="I8" s="92">
        <v>58400</v>
      </c>
      <c r="J8" s="73"/>
      <c r="K8" s="76" t="s">
        <v>86</v>
      </c>
      <c r="L8" s="92">
        <v>176000</v>
      </c>
      <c r="M8" s="40"/>
      <c r="N8" s="40"/>
      <c r="O8" s="40"/>
    </row>
    <row r="9" spans="1:15" ht="15" customHeight="1" x14ac:dyDescent="0.25">
      <c r="A9" s="75" t="s">
        <v>74</v>
      </c>
      <c r="B9" s="87">
        <v>639000</v>
      </c>
      <c r="C9" s="88">
        <v>109500</v>
      </c>
      <c r="D9" s="87">
        <v>141500</v>
      </c>
      <c r="E9" s="88">
        <v>50000</v>
      </c>
      <c r="F9" s="89">
        <f t="shared" si="0"/>
        <v>338000</v>
      </c>
      <c r="G9" s="73"/>
      <c r="H9" s="77" t="s">
        <v>77</v>
      </c>
      <c r="I9" s="93">
        <v>56000</v>
      </c>
      <c r="J9" s="73"/>
      <c r="K9" s="77" t="s">
        <v>220</v>
      </c>
      <c r="L9" s="93">
        <v>65000</v>
      </c>
      <c r="M9" s="40"/>
      <c r="N9" s="40"/>
      <c r="O9" s="40"/>
    </row>
    <row r="10" spans="1:15" ht="15" customHeight="1" x14ac:dyDescent="0.25">
      <c r="A10" s="75" t="s">
        <v>79</v>
      </c>
      <c r="B10" s="87">
        <v>731000</v>
      </c>
      <c r="C10" s="88">
        <v>103300</v>
      </c>
      <c r="D10" s="87">
        <v>180500</v>
      </c>
      <c r="E10" s="88">
        <v>81000</v>
      </c>
      <c r="F10" s="89">
        <f t="shared" si="0"/>
        <v>366200</v>
      </c>
      <c r="G10" s="73"/>
      <c r="H10" s="76" t="s">
        <v>64</v>
      </c>
      <c r="I10" s="92">
        <v>44800</v>
      </c>
      <c r="J10" s="73"/>
      <c r="K10" s="78"/>
      <c r="L10" s="78"/>
      <c r="M10" s="40"/>
      <c r="N10" s="40"/>
      <c r="O10" s="40"/>
    </row>
    <row r="11" spans="1:15" ht="15" customHeight="1" x14ac:dyDescent="0.25">
      <c r="A11" s="75" t="s">
        <v>84</v>
      </c>
      <c r="B11" s="87">
        <v>630000</v>
      </c>
      <c r="C11" s="88">
        <v>118900</v>
      </c>
      <c r="D11" s="87">
        <v>145500</v>
      </c>
      <c r="E11" s="88">
        <v>60000</v>
      </c>
      <c r="F11" s="89">
        <f t="shared" si="0"/>
        <v>305600</v>
      </c>
      <c r="G11" s="73"/>
      <c r="H11" s="77" t="s">
        <v>105</v>
      </c>
      <c r="I11" s="93">
        <v>41300</v>
      </c>
      <c r="J11" s="73"/>
      <c r="K11" s="78"/>
      <c r="L11" s="78"/>
      <c r="M11" s="40"/>
      <c r="N11" s="40"/>
      <c r="O11" s="40"/>
    </row>
    <row r="12" spans="1:15" ht="15" customHeight="1" x14ac:dyDescent="0.25">
      <c r="A12" s="75" t="s">
        <v>89</v>
      </c>
      <c r="B12" s="87">
        <v>661000</v>
      </c>
      <c r="C12" s="88">
        <v>95000</v>
      </c>
      <c r="D12" s="87">
        <v>142000</v>
      </c>
      <c r="E12" s="88">
        <v>61000</v>
      </c>
      <c r="F12" s="89">
        <f t="shared" si="0"/>
        <v>363000</v>
      </c>
      <c r="G12" s="73"/>
      <c r="H12" s="76" t="s">
        <v>51</v>
      </c>
      <c r="I12" s="92">
        <v>38500</v>
      </c>
      <c r="J12" s="73"/>
      <c r="K12" s="78"/>
      <c r="L12" s="78"/>
      <c r="M12" s="40"/>
      <c r="N12" s="40"/>
      <c r="O12" s="40"/>
    </row>
    <row r="13" spans="1:15" ht="15" customHeight="1" x14ac:dyDescent="0.25">
      <c r="A13" s="75" t="s">
        <v>93</v>
      </c>
      <c r="B13" s="87">
        <v>465000</v>
      </c>
      <c r="C13" s="88">
        <v>67500</v>
      </c>
      <c r="D13" s="87">
        <v>73500</v>
      </c>
      <c r="E13" s="88">
        <v>38000</v>
      </c>
      <c r="F13" s="89">
        <f t="shared" si="0"/>
        <v>286000</v>
      </c>
      <c r="G13" s="73"/>
      <c r="H13" s="77" t="s">
        <v>71</v>
      </c>
      <c r="I13" s="93">
        <v>34000</v>
      </c>
      <c r="J13" s="73"/>
      <c r="K13" s="78"/>
      <c r="L13" s="78"/>
      <c r="M13" s="40"/>
      <c r="N13" s="40"/>
      <c r="O13" s="40"/>
    </row>
    <row r="14" spans="1:15" ht="15" customHeight="1" x14ac:dyDescent="0.25">
      <c r="A14" s="75" t="s">
        <v>98</v>
      </c>
      <c r="B14" s="87">
        <v>825000</v>
      </c>
      <c r="C14" s="88">
        <v>148300</v>
      </c>
      <c r="D14" s="87">
        <v>211000</v>
      </c>
      <c r="E14" s="88">
        <v>84000</v>
      </c>
      <c r="F14" s="89">
        <f t="shared" si="0"/>
        <v>381700</v>
      </c>
      <c r="G14" s="73"/>
      <c r="H14" s="76" t="s">
        <v>87</v>
      </c>
      <c r="I14" s="92">
        <v>23700</v>
      </c>
      <c r="J14" s="73"/>
      <c r="K14" s="78"/>
      <c r="L14" s="78"/>
      <c r="M14" s="40"/>
      <c r="N14" s="40"/>
      <c r="O14" s="40"/>
    </row>
    <row r="15" spans="1:15" ht="15" customHeight="1" x14ac:dyDescent="0.25">
      <c r="A15" s="75" t="s">
        <v>102</v>
      </c>
      <c r="B15" s="87">
        <v>695000</v>
      </c>
      <c r="C15" s="88">
        <v>82300</v>
      </c>
      <c r="D15" s="87">
        <v>167500</v>
      </c>
      <c r="E15" s="88">
        <v>61500</v>
      </c>
      <c r="F15" s="89">
        <f t="shared" si="0"/>
        <v>383700</v>
      </c>
      <c r="G15" s="73"/>
      <c r="H15" s="77" t="s">
        <v>116</v>
      </c>
      <c r="I15" s="93">
        <v>23100</v>
      </c>
      <c r="J15" s="73"/>
      <c r="K15" s="78"/>
      <c r="L15" s="78"/>
      <c r="M15" s="40"/>
      <c r="N15" s="40"/>
      <c r="O15" s="40"/>
    </row>
    <row r="16" spans="1:15" ht="15" customHeight="1" x14ac:dyDescent="0.25">
      <c r="A16" s="72" t="s">
        <v>296</v>
      </c>
      <c r="B16" s="90">
        <f>SUM(B4:B15)</f>
        <v>7871000</v>
      </c>
      <c r="C16" s="90">
        <f>SUM(C4:C15)</f>
        <v>1139900</v>
      </c>
      <c r="D16" s="90">
        <f>SUM(D4:D15)</f>
        <v>1746900</v>
      </c>
      <c r="E16" s="90">
        <f>SUM(E4:E15)</f>
        <v>695800</v>
      </c>
      <c r="F16" s="91">
        <f>SUM(F4:F15)</f>
        <v>4288400</v>
      </c>
      <c r="G16" s="73"/>
      <c r="H16" s="78"/>
      <c r="I16" s="78"/>
      <c r="J16" s="73"/>
      <c r="K16" s="78"/>
      <c r="L16" s="78"/>
      <c r="M16" s="40"/>
      <c r="N16" s="40"/>
      <c r="O16" s="40"/>
    </row>
    <row r="17" spans="1:15" x14ac:dyDescent="0.25">
      <c r="A17" s="39"/>
      <c r="B17" s="39"/>
      <c r="C17" s="39"/>
      <c r="D17" s="39"/>
      <c r="E17" s="39"/>
      <c r="F17" s="39"/>
      <c r="G17" s="40"/>
      <c r="H17" s="39"/>
      <c r="I17" s="39"/>
      <c r="J17" s="40"/>
      <c r="K17" s="39"/>
      <c r="L17" s="39"/>
      <c r="M17" s="40"/>
      <c r="N17" s="40"/>
      <c r="O17" s="40"/>
    </row>
    <row r="18" spans="1:15" x14ac:dyDescent="0.25">
      <c r="A18" s="39"/>
      <c r="B18" s="39"/>
      <c r="C18" s="39"/>
      <c r="D18" s="39"/>
      <c r="E18" s="39"/>
      <c r="F18" s="39"/>
      <c r="G18" s="40"/>
      <c r="H18" s="39"/>
      <c r="I18" s="39"/>
      <c r="J18" s="40"/>
      <c r="K18" s="39"/>
      <c r="L18" s="39"/>
      <c r="M18" s="40"/>
      <c r="N18" s="40"/>
      <c r="O18" s="40"/>
    </row>
    <row r="19" spans="1:15" x14ac:dyDescent="0.25">
      <c r="A19" s="39"/>
      <c r="B19" s="39"/>
      <c r="C19" s="39"/>
      <c r="D19" s="39"/>
      <c r="E19" s="39"/>
      <c r="F19" s="39"/>
      <c r="G19" s="40"/>
      <c r="H19" s="39"/>
      <c r="I19" s="39"/>
      <c r="J19" s="40"/>
      <c r="K19" s="39"/>
      <c r="L19" s="39"/>
      <c r="M19" s="40"/>
      <c r="N19" s="40"/>
      <c r="O19" s="40"/>
    </row>
    <row r="20" spans="1:15" x14ac:dyDescent="0.25">
      <c r="A20" s="39"/>
      <c r="B20" s="39"/>
      <c r="C20" s="39"/>
      <c r="D20" s="39"/>
      <c r="E20" s="39"/>
      <c r="F20" s="39"/>
      <c r="G20" s="40"/>
      <c r="H20" s="39"/>
      <c r="I20" s="39"/>
      <c r="J20" s="40"/>
      <c r="K20" s="39"/>
      <c r="L20" s="39"/>
      <c r="M20" s="40"/>
      <c r="N20" s="40"/>
      <c r="O20" s="40"/>
    </row>
    <row r="21" spans="1:15" x14ac:dyDescent="0.25">
      <c r="A21" s="39"/>
      <c r="B21" s="39"/>
      <c r="C21" s="39"/>
      <c r="D21" s="39"/>
      <c r="E21" s="39"/>
      <c r="F21" s="39"/>
      <c r="G21" s="40"/>
      <c r="H21" s="39"/>
      <c r="I21" s="39"/>
      <c r="J21" s="40"/>
      <c r="K21" s="39"/>
      <c r="L21" s="39"/>
      <c r="M21" s="40"/>
      <c r="N21" s="40"/>
      <c r="O21" s="40"/>
    </row>
    <row r="22" spans="1:15" x14ac:dyDescent="0.25">
      <c r="A22" s="39"/>
      <c r="B22" s="39"/>
      <c r="C22" s="39"/>
      <c r="D22" s="39"/>
      <c r="E22" s="39"/>
      <c r="F22" s="39"/>
      <c r="G22" s="40"/>
      <c r="H22" s="39"/>
      <c r="I22" s="39"/>
      <c r="J22" s="40"/>
      <c r="K22" s="39"/>
      <c r="L22" s="39"/>
      <c r="M22" s="40"/>
      <c r="N22" s="40"/>
      <c r="O22" s="40"/>
    </row>
    <row r="23" spans="1:15" x14ac:dyDescent="0.25">
      <c r="A23" s="39"/>
      <c r="B23" s="39"/>
      <c r="C23" s="39"/>
      <c r="D23" s="39"/>
      <c r="E23" s="39"/>
      <c r="F23" s="39"/>
      <c r="G23" s="40"/>
      <c r="H23" s="39"/>
      <c r="I23" s="39"/>
      <c r="J23" s="40"/>
      <c r="K23" s="39"/>
      <c r="L23" s="39"/>
      <c r="M23" s="40"/>
      <c r="N23" s="40"/>
      <c r="O23" s="40"/>
    </row>
    <row r="24" spans="1:15" x14ac:dyDescent="0.25">
      <c r="A24" s="39"/>
      <c r="B24" s="39"/>
      <c r="C24" s="39"/>
      <c r="D24" s="39"/>
      <c r="E24" s="39"/>
      <c r="F24" s="39"/>
      <c r="G24" s="40"/>
      <c r="H24" s="39"/>
      <c r="I24" s="39"/>
      <c r="J24" s="40"/>
      <c r="K24" s="39"/>
      <c r="L24" s="39"/>
      <c r="M24" s="40"/>
      <c r="N24" s="40"/>
      <c r="O24" s="40"/>
    </row>
    <row r="25" spans="1:15" x14ac:dyDescent="0.25">
      <c r="A25" s="39"/>
      <c r="B25" s="39"/>
      <c r="C25" s="39"/>
      <c r="D25" s="39"/>
      <c r="E25" s="39"/>
      <c r="F25" s="39"/>
      <c r="G25" s="40"/>
      <c r="H25" s="39"/>
      <c r="I25" s="39"/>
      <c r="J25" s="40"/>
      <c r="K25" s="39"/>
      <c r="L25" s="39"/>
      <c r="M25" s="40"/>
      <c r="N25" s="40"/>
      <c r="O25" s="40"/>
    </row>
    <row r="26" spans="1:15" x14ac:dyDescent="0.25">
      <c r="A26" s="39"/>
      <c r="B26" s="39"/>
      <c r="C26" s="39"/>
      <c r="D26" s="39"/>
      <c r="E26" s="39"/>
      <c r="F26" s="39"/>
      <c r="G26" s="40"/>
      <c r="H26" s="39"/>
      <c r="I26" s="39"/>
      <c r="J26" s="40"/>
      <c r="K26" s="39"/>
      <c r="L26" s="39"/>
      <c r="M26" s="40"/>
      <c r="N26" s="40"/>
      <c r="O26" s="40"/>
    </row>
  </sheetData>
  <mergeCells count="2">
    <mergeCell ref="A1:K1"/>
    <mergeCell ref="A2:L2"/>
  </mergeCells>
  <hyperlinks>
    <hyperlink ref="L1" location="'Welcome Page'!A1" display="Go to Welcome Page"/>
  </hyperlinks>
  <pageMargins left="0.75" right="0.75" top="1" bottom="1" header="0.511811023622047" footer="0.511811023622047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O79"/>
  <sheetViews>
    <sheetView showGridLines="0" topLeftCell="A7" zoomScaleNormal="100" workbookViewId="0">
      <pane xSplit="1" topLeftCell="G1" activePane="topRight" state="frozen"/>
      <selection activeCell="A5" sqref="A5"/>
      <selection pane="topRight" activeCell="R17" sqref="A1:XFD1048576"/>
    </sheetView>
  </sheetViews>
  <sheetFormatPr defaultColWidth="8.7109375" defaultRowHeight="15" x14ac:dyDescent="0.25"/>
  <cols>
    <col min="1" max="1" width="2" style="102" hidden="1" customWidth="1"/>
    <col min="2" max="2" width="16" style="102" customWidth="1"/>
    <col min="3" max="3" width="16.42578125" style="102" customWidth="1"/>
    <col min="4" max="4" width="15.85546875" style="102" customWidth="1"/>
    <col min="5" max="5" width="15.5703125" style="102" customWidth="1"/>
    <col min="6" max="6" width="16.5703125" style="102" customWidth="1"/>
    <col min="7" max="7" width="15.5703125" style="102" customWidth="1"/>
    <col min="8" max="8" width="4.28515625" style="102" customWidth="1"/>
    <col min="9" max="9" width="15.42578125" style="102" customWidth="1"/>
    <col min="10" max="10" width="15.28515625" style="102" customWidth="1"/>
    <col min="11" max="11" width="15.5703125" style="102" customWidth="1"/>
    <col min="12" max="13" width="16.28515625" style="102" customWidth="1"/>
    <col min="14" max="14" width="20" style="102" customWidth="1"/>
    <col min="15" max="15" width="5.140625" style="102" customWidth="1"/>
    <col min="16" max="16384" width="8.7109375" style="98"/>
  </cols>
  <sheetData>
    <row r="1" spans="1:15" ht="7.5" customHeight="1" thickBot="1" x14ac:dyDescent="0.3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</row>
    <row r="2" spans="1:15" ht="45.75" customHeight="1" thickBot="1" x14ac:dyDescent="0.3">
      <c r="A2" s="55"/>
      <c r="B2" s="195" t="s">
        <v>315</v>
      </c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03" t="s">
        <v>316</v>
      </c>
      <c r="O2" s="55"/>
    </row>
    <row r="3" spans="1:15" ht="29.25" customHeight="1" x14ac:dyDescent="0.25">
      <c r="A3" s="55"/>
      <c r="B3" s="197" t="s">
        <v>317</v>
      </c>
      <c r="C3" s="197"/>
      <c r="D3" s="197"/>
      <c r="E3" s="197"/>
      <c r="F3" s="197"/>
      <c r="G3" s="197"/>
      <c r="H3" s="197"/>
      <c r="I3" s="197"/>
      <c r="J3" s="197"/>
      <c r="K3" s="197"/>
      <c r="L3" s="197"/>
      <c r="M3" s="197"/>
      <c r="N3" s="197"/>
      <c r="O3" s="55"/>
    </row>
    <row r="4" spans="1:15" ht="20.25" customHeight="1" x14ac:dyDescent="0.25">
      <c r="A4" s="55"/>
      <c r="B4" s="198" t="s">
        <v>318</v>
      </c>
      <c r="C4" s="198"/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55"/>
    </row>
    <row r="5" spans="1:15" ht="21.75" customHeight="1" x14ac:dyDescent="0.25">
      <c r="A5" s="55"/>
      <c r="B5" s="99"/>
      <c r="C5" s="99"/>
      <c r="D5" s="99"/>
      <c r="E5" s="99"/>
      <c r="F5" s="100"/>
      <c r="G5" s="100"/>
      <c r="H5" s="100"/>
      <c r="I5" s="100"/>
      <c r="J5" s="99"/>
      <c r="K5" s="99"/>
      <c r="L5" s="99"/>
      <c r="M5" s="99"/>
      <c r="N5" s="99"/>
      <c r="O5" s="55"/>
    </row>
    <row r="6" spans="1:15" ht="21.75" customHeight="1" x14ac:dyDescent="0.25">
      <c r="A6" s="55"/>
      <c r="B6" s="192" t="s">
        <v>319</v>
      </c>
      <c r="C6" s="192"/>
      <c r="D6" s="192"/>
      <c r="E6" s="192"/>
      <c r="F6" s="192" t="s">
        <v>320</v>
      </c>
      <c r="G6" s="192"/>
      <c r="H6" s="192"/>
      <c r="I6" s="192"/>
      <c r="J6" s="192" t="s">
        <v>321</v>
      </c>
      <c r="K6" s="192"/>
      <c r="L6" s="192"/>
      <c r="M6" s="192"/>
      <c r="N6" s="192"/>
      <c r="O6" s="55"/>
    </row>
    <row r="7" spans="1:15" ht="21.75" customHeight="1" x14ac:dyDescent="0.25">
      <c r="A7" s="55"/>
      <c r="B7" s="190">
        <f>'Income Analysis'!N10</f>
        <v>7871000</v>
      </c>
      <c r="C7" s="190"/>
      <c r="D7" s="190"/>
      <c r="E7" s="190"/>
      <c r="F7" s="194">
        <f>'Pivot Analysis'!C16+'Pivot Analysis'!E16</f>
        <v>1835700</v>
      </c>
      <c r="G7" s="194"/>
      <c r="H7" s="194"/>
      <c r="I7" s="194"/>
      <c r="J7" s="190">
        <f>'Pivot Analysis'!D16</f>
        <v>1746900</v>
      </c>
      <c r="K7" s="190"/>
      <c r="L7" s="190"/>
      <c r="M7" s="190"/>
      <c r="N7" s="190"/>
      <c r="O7" s="55"/>
    </row>
    <row r="8" spans="1:15" ht="21.75" customHeight="1" x14ac:dyDescent="0.25">
      <c r="A8" s="55"/>
      <c r="B8" s="191" t="s">
        <v>322</v>
      </c>
      <c r="C8" s="191"/>
      <c r="D8" s="191"/>
      <c r="E8" s="191"/>
      <c r="F8" s="191" t="s">
        <v>323</v>
      </c>
      <c r="G8" s="191"/>
      <c r="H8" s="191"/>
      <c r="I8" s="191"/>
      <c r="J8" s="191" t="s">
        <v>324</v>
      </c>
      <c r="K8" s="191"/>
      <c r="L8" s="191"/>
      <c r="M8" s="191"/>
      <c r="N8" s="191"/>
      <c r="O8" s="55"/>
    </row>
    <row r="9" spans="1:15" ht="21.75" customHeight="1" x14ac:dyDescent="0.25">
      <c r="A9" s="55"/>
      <c r="B9" s="99"/>
      <c r="C9" s="99"/>
      <c r="D9" s="99"/>
      <c r="E9" s="99"/>
      <c r="F9" s="100"/>
      <c r="G9" s="100"/>
      <c r="H9" s="100"/>
      <c r="I9" s="100"/>
      <c r="J9" s="99"/>
      <c r="K9" s="99"/>
      <c r="L9" s="99"/>
      <c r="M9" s="99"/>
      <c r="N9" s="99"/>
      <c r="O9" s="55"/>
    </row>
    <row r="10" spans="1:15" ht="21.75" customHeight="1" x14ac:dyDescent="0.25">
      <c r="A10" s="55"/>
      <c r="B10" s="192" t="s">
        <v>325</v>
      </c>
      <c r="C10" s="192"/>
      <c r="D10" s="192"/>
      <c r="E10" s="192"/>
      <c r="F10" s="192" t="s">
        <v>326</v>
      </c>
      <c r="G10" s="192"/>
      <c r="H10" s="192"/>
      <c r="I10" s="192"/>
      <c r="J10" s="192" t="s">
        <v>327</v>
      </c>
      <c r="K10" s="192"/>
      <c r="L10" s="192"/>
      <c r="M10" s="192"/>
      <c r="N10" s="192"/>
      <c r="O10" s="55"/>
    </row>
    <row r="11" spans="1:15" ht="21.75" customHeight="1" x14ac:dyDescent="0.25">
      <c r="A11" s="55"/>
      <c r="B11" s="190">
        <f>'Pivot Analysis'!E16</f>
        <v>695800</v>
      </c>
      <c r="C11" s="190"/>
      <c r="D11" s="190"/>
      <c r="E11" s="190"/>
      <c r="F11" s="193">
        <f>AVERAGE('Cleaned Data'!N3:N100)</f>
        <v>736.55102040816325</v>
      </c>
      <c r="G11" s="193"/>
      <c r="H11" s="193"/>
      <c r="I11" s="193"/>
      <c r="J11" s="188">
        <f>((B7-F7)/B7)</f>
        <v>0.76677677550501844</v>
      </c>
      <c r="K11" s="188"/>
      <c r="L11" s="188"/>
      <c r="M11" s="188"/>
      <c r="N11" s="188"/>
      <c r="O11" s="55"/>
    </row>
    <row r="12" spans="1:15" ht="21.75" customHeight="1" x14ac:dyDescent="0.25">
      <c r="A12" s="55"/>
      <c r="B12" s="191" t="s">
        <v>328</v>
      </c>
      <c r="C12" s="191"/>
      <c r="D12" s="191"/>
      <c r="E12" s="191"/>
      <c r="F12" s="191" t="s">
        <v>329</v>
      </c>
      <c r="G12" s="191"/>
      <c r="H12" s="191"/>
      <c r="I12" s="191"/>
      <c r="J12" s="191" t="s">
        <v>330</v>
      </c>
      <c r="K12" s="191"/>
      <c r="L12" s="191"/>
      <c r="M12" s="191"/>
      <c r="N12" s="191"/>
      <c r="O12" s="55"/>
    </row>
    <row r="13" spans="1:15" ht="21.75" customHeight="1" x14ac:dyDescent="0.25">
      <c r="A13" s="55"/>
      <c r="B13" s="99"/>
      <c r="C13" s="99"/>
      <c r="D13" s="99"/>
      <c r="E13" s="99"/>
      <c r="F13" s="100"/>
      <c r="G13" s="100"/>
      <c r="H13" s="100"/>
      <c r="I13" s="100"/>
      <c r="J13" s="99"/>
      <c r="K13" s="99"/>
      <c r="L13" s="99"/>
      <c r="M13" s="99"/>
      <c r="N13" s="99"/>
      <c r="O13" s="55"/>
    </row>
    <row r="14" spans="1:15" ht="21.75" customHeight="1" x14ac:dyDescent="0.25">
      <c r="A14" s="55"/>
      <c r="B14" s="192" t="s">
        <v>331</v>
      </c>
      <c r="C14" s="192"/>
      <c r="D14" s="192"/>
      <c r="E14" s="192"/>
      <c r="F14" s="192" t="s">
        <v>332</v>
      </c>
      <c r="G14" s="192"/>
      <c r="H14" s="192"/>
      <c r="I14" s="192"/>
      <c r="J14" s="192" t="s">
        <v>333</v>
      </c>
      <c r="K14" s="192"/>
      <c r="L14" s="192"/>
      <c r="M14" s="192"/>
      <c r="N14" s="192"/>
      <c r="O14" s="55"/>
    </row>
    <row r="15" spans="1:15" ht="21.75" customHeight="1" x14ac:dyDescent="0.25">
      <c r="A15" s="55"/>
      <c r="B15" s="188">
        <f>(F7/B7)</f>
        <v>0.23322322449498159</v>
      </c>
      <c r="C15" s="188"/>
      <c r="D15" s="188"/>
      <c r="E15" s="188"/>
      <c r="F15" s="189">
        <f>COUNTA('Cleaned Data'!A3:A100)</f>
        <v>98</v>
      </c>
      <c r="G15" s="189"/>
      <c r="H15" s="189"/>
      <c r="I15" s="189"/>
      <c r="J15" s="190">
        <f>B7/F15</f>
        <v>80316.326530612248</v>
      </c>
      <c r="K15" s="190"/>
      <c r="L15" s="190"/>
      <c r="M15" s="190"/>
      <c r="N15" s="190"/>
      <c r="O15" s="55"/>
    </row>
    <row r="16" spans="1:15" ht="21.75" customHeight="1" x14ac:dyDescent="0.25">
      <c r="A16" s="55"/>
      <c r="B16" s="191" t="s">
        <v>334</v>
      </c>
      <c r="C16" s="191"/>
      <c r="D16" s="191"/>
      <c r="E16" s="191"/>
      <c r="F16" s="191" t="s">
        <v>335</v>
      </c>
      <c r="G16" s="191"/>
      <c r="H16" s="191"/>
      <c r="I16" s="191"/>
      <c r="J16" s="191" t="s">
        <v>336</v>
      </c>
      <c r="K16" s="191"/>
      <c r="L16" s="191"/>
      <c r="M16" s="191"/>
      <c r="N16" s="191"/>
      <c r="O16" s="55"/>
    </row>
    <row r="17" spans="1:15" ht="19.5" customHeight="1" x14ac:dyDescent="0.25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</row>
    <row r="18" spans="1:15" ht="19.5" customHeight="1" x14ac:dyDescent="0.25">
      <c r="A18" s="55"/>
      <c r="B18" s="185" t="s">
        <v>337</v>
      </c>
      <c r="C18" s="185"/>
      <c r="D18" s="185"/>
      <c r="E18" s="185"/>
      <c r="F18" s="185"/>
      <c r="G18" s="185"/>
      <c r="H18" s="185"/>
      <c r="I18" s="185"/>
      <c r="J18" s="185"/>
      <c r="K18" s="185"/>
      <c r="L18" s="185"/>
      <c r="M18" s="185"/>
      <c r="N18" s="185"/>
      <c r="O18" s="55"/>
    </row>
    <row r="19" spans="1:15" ht="19.5" customHeight="1" x14ac:dyDescent="0.25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</row>
    <row r="20" spans="1:15" ht="19.5" customHeight="1" x14ac:dyDescent="0.25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</row>
    <row r="21" spans="1:15" ht="19.5" customHeight="1" x14ac:dyDescent="0.25">
      <c r="A21" s="55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</row>
    <row r="22" spans="1:15" ht="19.5" customHeight="1" x14ac:dyDescent="0.25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</row>
    <row r="23" spans="1:15" ht="19.5" customHeight="1" x14ac:dyDescent="0.25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</row>
    <row r="24" spans="1:15" ht="19.5" customHeight="1" x14ac:dyDescent="0.25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</row>
    <row r="25" spans="1:15" ht="19.5" customHeight="1" x14ac:dyDescent="0.25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</row>
    <row r="26" spans="1:15" ht="19.5" customHeight="1" x14ac:dyDescent="0.25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</row>
    <row r="27" spans="1:15" ht="19.5" customHeight="1" x14ac:dyDescent="0.25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</row>
    <row r="28" spans="1:15" ht="19.5" customHeight="1" x14ac:dyDescent="0.25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</row>
    <row r="29" spans="1:15" ht="19.5" customHeight="1" x14ac:dyDescent="0.25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</row>
    <row r="30" spans="1:15" ht="19.5" customHeight="1" x14ac:dyDescent="0.25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</row>
    <row r="31" spans="1:15" ht="19.5" customHeight="1" x14ac:dyDescent="0.25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</row>
    <row r="32" spans="1:15" ht="19.5" customHeight="1" x14ac:dyDescent="0.25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</row>
    <row r="33" spans="1:15" ht="19.5" customHeight="1" x14ac:dyDescent="0.25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</row>
    <row r="34" spans="1:15" ht="19.5" customHeight="1" x14ac:dyDescent="0.25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</row>
    <row r="35" spans="1:15" ht="19.5" customHeight="1" x14ac:dyDescent="0.25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</row>
    <row r="36" spans="1:15" ht="19.5" customHeight="1" x14ac:dyDescent="0.25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</row>
    <row r="37" spans="1:15" ht="19.5" customHeight="1" x14ac:dyDescent="0.25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</row>
    <row r="38" spans="1:15" ht="19.5" customHeight="1" x14ac:dyDescent="0.25">
      <c r="A38" s="55"/>
      <c r="B38" s="186"/>
      <c r="C38" s="186"/>
      <c r="D38" s="186"/>
      <c r="E38" s="186"/>
      <c r="F38" s="186"/>
      <c r="G38" s="186"/>
      <c r="H38" s="55"/>
      <c r="I38" s="181" t="s">
        <v>338</v>
      </c>
      <c r="J38" s="181"/>
      <c r="K38" s="181"/>
      <c r="L38" s="181"/>
      <c r="M38" s="181"/>
      <c r="N38" s="181"/>
      <c r="O38" s="55"/>
    </row>
    <row r="39" spans="1:15" ht="19.5" customHeight="1" x14ac:dyDescent="0.25">
      <c r="A39" s="55"/>
      <c r="B39" s="55"/>
      <c r="C39" s="55"/>
      <c r="D39" s="55"/>
      <c r="E39" s="55"/>
      <c r="F39" s="55"/>
      <c r="G39" s="55"/>
      <c r="H39" s="55"/>
      <c r="I39" s="187" t="s">
        <v>307</v>
      </c>
      <c r="J39" s="187"/>
      <c r="K39" s="187"/>
      <c r="L39" s="187" t="s">
        <v>339</v>
      </c>
      <c r="M39" s="187"/>
      <c r="N39" s="187"/>
      <c r="O39" s="55"/>
    </row>
    <row r="40" spans="1:15" ht="19.5" customHeight="1" x14ac:dyDescent="0.25">
      <c r="A40" s="55"/>
      <c r="B40" s="55"/>
      <c r="C40" s="55"/>
      <c r="D40" s="55"/>
      <c r="E40" s="55"/>
      <c r="F40" s="55"/>
      <c r="G40" s="55"/>
      <c r="H40" s="55"/>
      <c r="I40" s="182" t="s">
        <v>340</v>
      </c>
      <c r="J40" s="182"/>
      <c r="K40" s="182"/>
      <c r="L40" s="179">
        <f>COUNTIF('Cleaned Data'!O3:O100,"Excellent")</f>
        <v>21</v>
      </c>
      <c r="M40" s="179"/>
      <c r="N40" s="179"/>
      <c r="O40" s="55"/>
    </row>
    <row r="41" spans="1:15" ht="19.5" customHeight="1" x14ac:dyDescent="0.25">
      <c r="A41" s="55"/>
      <c r="B41" s="55"/>
      <c r="C41" s="55"/>
      <c r="D41" s="55"/>
      <c r="E41" s="55"/>
      <c r="F41" s="55"/>
      <c r="G41" s="55"/>
      <c r="H41" s="55"/>
      <c r="I41" s="183" t="s">
        <v>341</v>
      </c>
      <c r="J41" s="183"/>
      <c r="K41" s="183"/>
      <c r="L41" s="179">
        <f>COUNTIF('Cleaned Data'!O3:O100,"Good")</f>
        <v>34</v>
      </c>
      <c r="M41" s="179"/>
      <c r="N41" s="179"/>
      <c r="O41" s="55"/>
    </row>
    <row r="42" spans="1:15" ht="19.5" customHeight="1" x14ac:dyDescent="0.25">
      <c r="A42" s="55"/>
      <c r="B42" s="55"/>
      <c r="C42" s="55"/>
      <c r="D42" s="55"/>
      <c r="E42" s="55"/>
      <c r="F42" s="55"/>
      <c r="G42" s="55"/>
      <c r="H42" s="55"/>
      <c r="I42" s="184" t="s">
        <v>342</v>
      </c>
      <c r="J42" s="184"/>
      <c r="K42" s="184"/>
      <c r="L42" s="179">
        <f>COUNTIF('Cleaned Data'!O3:O100,"Stable")</f>
        <v>21</v>
      </c>
      <c r="M42" s="179"/>
      <c r="N42" s="179"/>
      <c r="O42" s="55"/>
    </row>
    <row r="43" spans="1:15" ht="19.5" customHeight="1" x14ac:dyDescent="0.25">
      <c r="A43" s="55"/>
      <c r="B43" s="55"/>
      <c r="C43" s="55"/>
      <c r="D43" s="55"/>
      <c r="E43" s="55"/>
      <c r="F43" s="55"/>
      <c r="G43" s="55"/>
      <c r="H43" s="55"/>
      <c r="I43" s="178" t="s">
        <v>343</v>
      </c>
      <c r="J43" s="178"/>
      <c r="K43" s="178"/>
      <c r="L43" s="179">
        <f>COUNTIF('Cleaned Data'!O3:O100,"Average")</f>
        <v>19</v>
      </c>
      <c r="M43" s="179"/>
      <c r="N43" s="179"/>
      <c r="O43" s="55"/>
    </row>
    <row r="44" spans="1:15" ht="19.5" customHeight="1" x14ac:dyDescent="0.25">
      <c r="A44" s="55"/>
      <c r="B44" s="55"/>
      <c r="C44" s="55"/>
      <c r="D44" s="55"/>
      <c r="E44" s="55"/>
      <c r="F44" s="55"/>
      <c r="G44" s="55"/>
      <c r="H44" s="55"/>
      <c r="I44" s="180" t="s">
        <v>344</v>
      </c>
      <c r="J44" s="180"/>
      <c r="K44" s="180"/>
      <c r="L44" s="179">
        <f>COUNTIF('Cleaned Data'!O3:O100,"Risky")</f>
        <v>3</v>
      </c>
      <c r="M44" s="179"/>
      <c r="N44" s="179"/>
      <c r="O44" s="55"/>
    </row>
    <row r="45" spans="1:15" ht="19.5" customHeight="1" x14ac:dyDescent="0.25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</row>
    <row r="46" spans="1:15" ht="19.5" customHeight="1" x14ac:dyDescent="0.25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</row>
    <row r="47" spans="1:15" ht="19.5" customHeight="1" x14ac:dyDescent="0.25">
      <c r="A47" s="55"/>
      <c r="B47" s="55"/>
      <c r="C47" s="55"/>
      <c r="D47" s="55"/>
      <c r="E47" s="55"/>
      <c r="F47" s="55"/>
      <c r="G47" s="55"/>
      <c r="H47" s="55"/>
      <c r="I47" s="181" t="s">
        <v>345</v>
      </c>
      <c r="J47" s="181"/>
      <c r="K47" s="181"/>
      <c r="L47" s="181"/>
      <c r="M47" s="181"/>
      <c r="N47" s="181"/>
      <c r="O47" s="55"/>
    </row>
    <row r="48" spans="1:15" ht="19.5" customHeight="1" x14ac:dyDescent="0.25">
      <c r="A48" s="55"/>
      <c r="B48" s="55"/>
      <c r="C48" s="55"/>
      <c r="D48" s="55"/>
      <c r="E48" s="55"/>
      <c r="F48" s="55"/>
      <c r="G48" s="55"/>
      <c r="H48" s="55"/>
      <c r="I48" s="175" t="s">
        <v>28</v>
      </c>
      <c r="J48" s="175"/>
      <c r="K48" s="175"/>
      <c r="L48" s="175" t="s">
        <v>346</v>
      </c>
      <c r="M48" s="175"/>
      <c r="N48" s="175"/>
      <c r="O48" s="55"/>
    </row>
    <row r="49" spans="1:15" ht="19.5" customHeight="1" x14ac:dyDescent="0.25">
      <c r="A49" s="55"/>
      <c r="B49" s="55"/>
      <c r="C49" s="55"/>
      <c r="D49" s="55"/>
      <c r="E49" s="55"/>
      <c r="F49" s="55"/>
      <c r="G49" s="55"/>
      <c r="H49" s="55"/>
      <c r="I49" s="176" t="s">
        <v>347</v>
      </c>
      <c r="J49" s="176"/>
      <c r="K49" s="176"/>
      <c r="L49" s="170">
        <v>353900</v>
      </c>
      <c r="M49" s="170"/>
      <c r="N49" s="170"/>
      <c r="O49" s="55"/>
    </row>
    <row r="50" spans="1:15" ht="19.5" customHeight="1" x14ac:dyDescent="0.25">
      <c r="A50" s="55"/>
      <c r="B50" s="55"/>
      <c r="C50" s="55"/>
      <c r="D50" s="55"/>
      <c r="E50" s="55"/>
      <c r="F50" s="55"/>
      <c r="G50" s="55"/>
      <c r="H50" s="55"/>
      <c r="I50" s="177" t="s">
        <v>348</v>
      </c>
      <c r="J50" s="177"/>
      <c r="K50" s="177"/>
      <c r="L50" s="168">
        <v>340500</v>
      </c>
      <c r="M50" s="168"/>
      <c r="N50" s="168"/>
      <c r="O50" s="55"/>
    </row>
    <row r="51" spans="1:15" ht="19.5" customHeight="1" x14ac:dyDescent="0.25">
      <c r="A51" s="55"/>
      <c r="B51" s="55"/>
      <c r="C51" s="55"/>
      <c r="D51" s="55"/>
      <c r="E51" s="55"/>
      <c r="F51" s="55"/>
      <c r="G51" s="55"/>
      <c r="H51" s="55"/>
      <c r="I51" s="172" t="s">
        <v>349</v>
      </c>
      <c r="J51" s="172"/>
      <c r="K51" s="172"/>
      <c r="L51" s="170">
        <v>215000</v>
      </c>
      <c r="M51" s="170"/>
      <c r="N51" s="170"/>
      <c r="O51" s="55"/>
    </row>
    <row r="52" spans="1:15" ht="19.5" customHeight="1" x14ac:dyDescent="0.25">
      <c r="A52" s="55"/>
      <c r="B52" s="55"/>
      <c r="C52" s="55"/>
      <c r="D52" s="55"/>
      <c r="E52" s="55"/>
      <c r="F52" s="55"/>
      <c r="G52" s="55"/>
      <c r="H52" s="55"/>
      <c r="I52" s="173" t="s">
        <v>350</v>
      </c>
      <c r="J52" s="173"/>
      <c r="K52" s="173"/>
      <c r="L52" s="168">
        <v>191000</v>
      </c>
      <c r="M52" s="168"/>
      <c r="N52" s="168"/>
      <c r="O52" s="55"/>
    </row>
    <row r="53" spans="1:15" ht="19.5" customHeight="1" x14ac:dyDescent="0.25">
      <c r="A53" s="55"/>
      <c r="B53" s="55"/>
      <c r="C53" s="55"/>
      <c r="D53" s="55"/>
      <c r="E53" s="55"/>
      <c r="F53" s="55"/>
      <c r="G53" s="55"/>
      <c r="H53" s="55"/>
      <c r="I53" s="174" t="s">
        <v>351</v>
      </c>
      <c r="J53" s="174"/>
      <c r="K53" s="174"/>
      <c r="L53" s="170">
        <v>182000</v>
      </c>
      <c r="M53" s="170"/>
      <c r="N53" s="170"/>
      <c r="O53" s="55"/>
    </row>
    <row r="54" spans="1:15" ht="19.5" customHeight="1" x14ac:dyDescent="0.25">
      <c r="A54" s="55"/>
      <c r="B54" s="55"/>
      <c r="C54" s="55"/>
      <c r="D54" s="55"/>
      <c r="E54" s="55"/>
      <c r="F54" s="55"/>
      <c r="G54" s="55"/>
      <c r="H54" s="55"/>
      <c r="I54" s="167" t="s">
        <v>352</v>
      </c>
      <c r="J54" s="167"/>
      <c r="K54" s="167"/>
      <c r="L54" s="168">
        <v>135500</v>
      </c>
      <c r="M54" s="168"/>
      <c r="N54" s="168"/>
      <c r="O54" s="55"/>
    </row>
    <row r="55" spans="1:15" ht="15" customHeight="1" x14ac:dyDescent="0.25">
      <c r="A55" s="55"/>
      <c r="B55" s="55"/>
      <c r="C55" s="55"/>
      <c r="D55" s="55"/>
      <c r="E55" s="55"/>
      <c r="F55" s="55"/>
      <c r="G55" s="55"/>
      <c r="H55" s="55"/>
      <c r="I55" s="169" t="s">
        <v>353</v>
      </c>
      <c r="J55" s="169"/>
      <c r="K55" s="169"/>
      <c r="L55" s="170">
        <v>80000</v>
      </c>
      <c r="M55" s="170"/>
      <c r="N55" s="170"/>
      <c r="O55" s="55"/>
    </row>
    <row r="56" spans="1:15" ht="15" customHeight="1" x14ac:dyDescent="0.25">
      <c r="A56" s="55"/>
      <c r="B56" s="55"/>
      <c r="C56" s="55"/>
      <c r="D56" s="55"/>
      <c r="E56" s="55"/>
      <c r="F56" s="55"/>
      <c r="G56" s="55"/>
      <c r="H56" s="55"/>
      <c r="I56" s="171" t="s">
        <v>354</v>
      </c>
      <c r="J56" s="171"/>
      <c r="K56" s="171"/>
      <c r="L56" s="168">
        <v>61000</v>
      </c>
      <c r="M56" s="168"/>
      <c r="N56" s="168"/>
      <c r="O56" s="55"/>
    </row>
    <row r="57" spans="1:15" ht="18" customHeight="1" x14ac:dyDescent="0.25">
      <c r="A57" s="101"/>
      <c r="B57" s="164" t="s">
        <v>355</v>
      </c>
      <c r="C57" s="165"/>
      <c r="D57" s="165"/>
      <c r="E57" s="165"/>
      <c r="F57" s="165"/>
      <c r="G57" s="165"/>
      <c r="H57" s="165"/>
      <c r="I57" s="165"/>
      <c r="J57" s="165"/>
      <c r="K57" s="165"/>
      <c r="L57" s="165"/>
      <c r="M57" s="165"/>
      <c r="N57" s="166"/>
      <c r="O57" s="101"/>
    </row>
    <row r="58" spans="1:15" ht="18" customHeight="1" x14ac:dyDescent="0.25">
      <c r="A58" s="101"/>
      <c r="B58" s="101"/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</row>
    <row r="59" spans="1:15" ht="15" customHeight="1" x14ac:dyDescent="0.25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</row>
    <row r="60" spans="1:15" ht="15" customHeight="1" x14ac:dyDescent="0.25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</row>
    <row r="61" spans="1:15" ht="15" customHeight="1" x14ac:dyDescent="0.25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</row>
    <row r="62" spans="1:15" ht="15" customHeight="1" x14ac:dyDescent="0.25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</row>
    <row r="63" spans="1:15" ht="15" customHeight="1" x14ac:dyDescent="0.25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</row>
    <row r="64" spans="1:15" ht="15" customHeight="1" x14ac:dyDescent="0.25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</row>
    <row r="65" spans="1:15" ht="15" customHeight="1" x14ac:dyDescent="0.25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</row>
    <row r="66" spans="1:15" ht="15" customHeight="1" x14ac:dyDescent="0.25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</row>
    <row r="67" spans="1:15" ht="15" customHeight="1" x14ac:dyDescent="0.25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</row>
    <row r="68" spans="1:15" ht="15" customHeight="1" x14ac:dyDescent="0.25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</row>
    <row r="69" spans="1:15" ht="15" customHeight="1" x14ac:dyDescent="0.25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</row>
    <row r="70" spans="1:15" ht="15" customHeight="1" x14ac:dyDescent="0.25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</row>
    <row r="71" spans="1:15" ht="15" customHeight="1" x14ac:dyDescent="0.25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</row>
    <row r="72" spans="1:15" ht="15" customHeight="1" x14ac:dyDescent="0.25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</row>
    <row r="73" spans="1:15" ht="15" customHeight="1" x14ac:dyDescent="0.25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</row>
    <row r="74" spans="1:15" ht="15" customHeight="1" x14ac:dyDescent="0.25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</row>
    <row r="75" spans="1:15" ht="15" customHeight="1" x14ac:dyDescent="0.25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</row>
    <row r="76" spans="1:15" ht="15" customHeight="1" x14ac:dyDescent="0.25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</row>
    <row r="77" spans="1:15" ht="15" customHeight="1" x14ac:dyDescent="0.25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</row>
    <row r="78" spans="1:15" ht="15" customHeight="1" x14ac:dyDescent="0.25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</row>
    <row r="79" spans="1:15" ht="15" customHeight="1" x14ac:dyDescent="0.25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</row>
  </sheetData>
  <mergeCells count="65">
    <mergeCell ref="B2:M2"/>
    <mergeCell ref="B3:N3"/>
    <mergeCell ref="B4:N4"/>
    <mergeCell ref="B6:E6"/>
    <mergeCell ref="F6:I6"/>
    <mergeCell ref="J6:N6"/>
    <mergeCell ref="B7:E7"/>
    <mergeCell ref="F7:I7"/>
    <mergeCell ref="J7:N7"/>
    <mergeCell ref="B8:E8"/>
    <mergeCell ref="F8:I8"/>
    <mergeCell ref="J8:N8"/>
    <mergeCell ref="B10:E10"/>
    <mergeCell ref="F10:I10"/>
    <mergeCell ref="J10:N10"/>
    <mergeCell ref="B11:E11"/>
    <mergeCell ref="F11:I11"/>
    <mergeCell ref="J11:N11"/>
    <mergeCell ref="B12:E12"/>
    <mergeCell ref="F12:I12"/>
    <mergeCell ref="J12:N12"/>
    <mergeCell ref="B14:E14"/>
    <mergeCell ref="F14:I14"/>
    <mergeCell ref="J14:N14"/>
    <mergeCell ref="B15:E15"/>
    <mergeCell ref="F15:I15"/>
    <mergeCell ref="J15:N15"/>
    <mergeCell ref="B16:E16"/>
    <mergeCell ref="F16:I16"/>
    <mergeCell ref="J16:N16"/>
    <mergeCell ref="B18:N18"/>
    <mergeCell ref="B38:G38"/>
    <mergeCell ref="I38:N38"/>
    <mergeCell ref="I39:K39"/>
    <mergeCell ref="L39:N39"/>
    <mergeCell ref="I40:K40"/>
    <mergeCell ref="L40:N40"/>
    <mergeCell ref="I41:K41"/>
    <mergeCell ref="L41:N41"/>
    <mergeCell ref="I42:K42"/>
    <mergeCell ref="L42:N42"/>
    <mergeCell ref="I43:K43"/>
    <mergeCell ref="L43:N43"/>
    <mergeCell ref="I44:K44"/>
    <mergeCell ref="L44:N44"/>
    <mergeCell ref="I47:N47"/>
    <mergeCell ref="I48:K48"/>
    <mergeCell ref="L48:N48"/>
    <mergeCell ref="I49:K49"/>
    <mergeCell ref="L49:N49"/>
    <mergeCell ref="I50:K50"/>
    <mergeCell ref="L50:N50"/>
    <mergeCell ref="I51:K51"/>
    <mergeCell ref="L51:N51"/>
    <mergeCell ref="I52:K52"/>
    <mergeCell ref="L52:N52"/>
    <mergeCell ref="I53:K53"/>
    <mergeCell ref="L53:N53"/>
    <mergeCell ref="B57:N57"/>
    <mergeCell ref="I54:K54"/>
    <mergeCell ref="L54:N54"/>
    <mergeCell ref="I55:K55"/>
    <mergeCell ref="L55:N55"/>
    <mergeCell ref="I56:K56"/>
    <mergeCell ref="L56:N56"/>
  </mergeCells>
  <hyperlinks>
    <hyperlink ref="N2" location="'Welcome Page'!A1" display="Go to Welcome page"/>
  </hyperlink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Welcome Page</vt:lpstr>
      <vt:lpstr>Raw Data</vt:lpstr>
      <vt:lpstr>Cleaning Tasks</vt:lpstr>
      <vt:lpstr>Cleaned Data</vt:lpstr>
      <vt:lpstr>Income Analysis</vt:lpstr>
      <vt:lpstr>Expense Analysis</vt:lpstr>
      <vt:lpstr>Budget Analysis</vt:lpstr>
      <vt:lpstr>Pivot Analysis</vt:lpstr>
      <vt:lpstr>Final 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Anudip</dc:creator>
  <cp:keywords/>
  <dc:description/>
  <cp:lastModifiedBy>Administrator</cp:lastModifiedBy>
  <cp:revision>2</cp:revision>
  <dcterms:created xsi:type="dcterms:W3CDTF">2026-05-18T05:46:23Z</dcterms:created>
  <dcterms:modified xsi:type="dcterms:W3CDTF">2026-05-29T03:15:31Z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0x010100EAA7EE546F0425488442B54B9F06CEE2</vt:lpwstr>
  </property>
</Properties>
</file>